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Code\MyHR\MyHR\MyHr.Api\Data\"/>
    </mc:Choice>
  </mc:AlternateContent>
  <xr:revisionPtr revIDLastSave="0" documentId="13_ncr:1_{56569ED1-4B78-4014-8417-878CBFAB6EA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6" i="1"/>
  <c r="O37" i="1"/>
  <c r="O38" i="1"/>
  <c r="O39" i="1"/>
  <c r="O40" i="1"/>
  <c r="O41" i="1"/>
  <c r="O42" i="1"/>
  <c r="O43" i="1"/>
  <c r="O45" i="1"/>
  <c r="O46" i="1"/>
  <c r="O47" i="1"/>
  <c r="O48" i="1"/>
  <c r="O49" i="1"/>
  <c r="O50" i="1"/>
  <c r="O51" i="1"/>
  <c r="O52" i="1"/>
  <c r="O53" i="1"/>
  <c r="O55" i="1"/>
  <c r="O56" i="1"/>
  <c r="O57" i="1"/>
  <c r="O58" i="1"/>
  <c r="O59" i="1"/>
  <c r="O60" i="1"/>
  <c r="O61" i="1"/>
  <c r="O62" i="1"/>
  <c r="O63" i="1"/>
  <c r="O64" i="1"/>
  <c r="O65" i="1"/>
  <c r="O66" i="1"/>
  <c r="O68" i="1"/>
  <c r="O69" i="1"/>
  <c r="O70" i="1"/>
  <c r="O71" i="1"/>
  <c r="O73" i="1"/>
  <c r="O74" i="1"/>
  <c r="O75" i="1"/>
  <c r="O76" i="1"/>
  <c r="O77" i="1"/>
  <c r="O78" i="1"/>
  <c r="O79" i="1"/>
  <c r="O81" i="1"/>
  <c r="O82" i="1"/>
  <c r="O83" i="1"/>
  <c r="O84" i="1"/>
  <c r="O85" i="1"/>
  <c r="O87" i="1"/>
  <c r="O88" i="1"/>
  <c r="O89" i="1"/>
  <c r="O90" i="1"/>
  <c r="O92" i="1"/>
  <c r="O93" i="1"/>
  <c r="O94" i="1"/>
  <c r="O95" i="1"/>
  <c r="O96" i="1"/>
  <c r="O97" i="1"/>
  <c r="O98" i="1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0" i="5"/>
  <c r="O109" i="5"/>
  <c r="O108" i="5"/>
  <c r="O107" i="5"/>
  <c r="O106" i="5"/>
  <c r="O105" i="5"/>
  <c r="O104" i="5"/>
  <c r="O103" i="5"/>
  <c r="O102" i="5"/>
  <c r="O101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4" i="5"/>
  <c r="O53" i="5"/>
  <c r="O52" i="5"/>
  <c r="O51" i="5"/>
  <c r="O50" i="5"/>
  <c r="O49" i="5"/>
  <c r="O48" i="5"/>
  <c r="O47" i="5"/>
  <c r="O46" i="5"/>
  <c r="O45" i="5"/>
  <c r="O44" i="5"/>
  <c r="O43" i="5"/>
  <c r="O41" i="5"/>
  <c r="O40" i="5"/>
  <c r="O39" i="5"/>
  <c r="O38" i="5"/>
  <c r="O37" i="5"/>
  <c r="O36" i="5"/>
  <c r="O35" i="5"/>
  <c r="O34" i="5"/>
  <c r="O33" i="5"/>
  <c r="O32" i="5"/>
  <c r="O31" i="5"/>
  <c r="O29" i="5"/>
  <c r="O28" i="5"/>
  <c r="O27" i="5"/>
  <c r="O26" i="5"/>
  <c r="O24" i="5"/>
  <c r="O23" i="5"/>
  <c r="O22" i="5"/>
  <c r="O21" i="5"/>
  <c r="O19" i="5"/>
  <c r="O18" i="5"/>
  <c r="O17" i="5"/>
  <c r="O16" i="5"/>
  <c r="O14" i="5"/>
  <c r="O13" i="5"/>
  <c r="O12" i="5"/>
  <c r="O11" i="5"/>
  <c r="O10" i="5"/>
  <c r="O9" i="5"/>
  <c r="O8" i="5"/>
  <c r="O139" i="5" s="1"/>
  <c r="N128" i="4"/>
  <c r="M128" i="4"/>
  <c r="L128" i="4"/>
  <c r="K128" i="4"/>
  <c r="O127" i="4"/>
  <c r="O126" i="4"/>
  <c r="O125" i="4"/>
  <c r="O124" i="4"/>
  <c r="O123" i="4"/>
  <c r="O121" i="4"/>
  <c r="O120" i="4"/>
  <c r="O119" i="4"/>
  <c r="O118" i="4"/>
  <c r="O117" i="4"/>
  <c r="O116" i="4"/>
  <c r="O115" i="4"/>
  <c r="O114" i="4"/>
  <c r="O113" i="4"/>
  <c r="O112" i="4"/>
  <c r="O111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1" i="4"/>
  <c r="O90" i="4"/>
  <c r="O89" i="4"/>
  <c r="O88" i="4"/>
  <c r="O87" i="4"/>
  <c r="O86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7" i="4"/>
  <c r="O46" i="4"/>
  <c r="O45" i="4"/>
  <c r="O44" i="4"/>
  <c r="O43" i="4"/>
  <c r="O42" i="4"/>
  <c r="O41" i="4"/>
  <c r="O39" i="4"/>
  <c r="O38" i="4"/>
  <c r="O37" i="4"/>
  <c r="O36" i="4"/>
  <c r="O35" i="4"/>
  <c r="O34" i="4"/>
  <c r="O32" i="4"/>
  <c r="O31" i="4"/>
  <c r="O30" i="4"/>
  <c r="O29" i="4"/>
  <c r="O27" i="4"/>
  <c r="O26" i="4"/>
  <c r="O25" i="4"/>
  <c r="O24" i="4"/>
  <c r="O23" i="4"/>
  <c r="O22" i="4"/>
  <c r="O20" i="4"/>
  <c r="O19" i="4"/>
  <c r="O18" i="4"/>
  <c r="O17" i="4"/>
  <c r="O15" i="4"/>
  <c r="O14" i="4"/>
  <c r="O13" i="4"/>
  <c r="O12" i="4"/>
  <c r="O11" i="4"/>
  <c r="O10" i="4"/>
  <c r="O9" i="4"/>
  <c r="O8" i="4"/>
  <c r="O128" i="4" s="1"/>
  <c r="N117" i="3"/>
  <c r="M117" i="3"/>
  <c r="L117" i="3"/>
  <c r="K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6" i="3"/>
  <c r="O85" i="3"/>
  <c r="O84" i="3"/>
  <c r="O83" i="3"/>
  <c r="O82" i="3"/>
  <c r="O81" i="3"/>
  <c r="O80" i="3"/>
  <c r="O78" i="3"/>
  <c r="O77" i="3"/>
  <c r="O76" i="3"/>
  <c r="O75" i="3"/>
  <c r="O74" i="3"/>
  <c r="O73" i="3"/>
  <c r="O72" i="3"/>
  <c r="O71" i="3"/>
  <c r="O70" i="3"/>
  <c r="O68" i="3"/>
  <c r="O67" i="3"/>
  <c r="O66" i="3"/>
  <c r="O65" i="3"/>
  <c r="O64" i="3"/>
  <c r="O63" i="3"/>
  <c r="O62" i="3"/>
  <c r="O60" i="3"/>
  <c r="O59" i="3"/>
  <c r="O58" i="3"/>
  <c r="O57" i="3"/>
  <c r="O56" i="3"/>
  <c r="O55" i="3"/>
  <c r="O54" i="3"/>
  <c r="O53" i="3"/>
  <c r="O52" i="3"/>
  <c r="O51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29" i="3"/>
  <c r="O28" i="3"/>
  <c r="O27" i="3"/>
  <c r="O26" i="3"/>
  <c r="O24" i="3"/>
  <c r="O23" i="3"/>
  <c r="O22" i="3"/>
  <c r="O21" i="3"/>
  <c r="O19" i="3"/>
  <c r="O18" i="3"/>
  <c r="O17" i="3"/>
  <c r="O15" i="3"/>
  <c r="O14" i="3"/>
  <c r="O13" i="3"/>
  <c r="O12" i="3"/>
  <c r="O11" i="3"/>
  <c r="O10" i="3"/>
  <c r="O9" i="3"/>
  <c r="O8" i="3"/>
  <c r="O110" i="2"/>
  <c r="O109" i="2"/>
  <c r="O108" i="2"/>
  <c r="O107" i="2"/>
  <c r="O106" i="2"/>
  <c r="O105" i="2"/>
  <c r="O104" i="2"/>
  <c r="O103" i="2"/>
  <c r="O102" i="2"/>
  <c r="O101" i="2"/>
  <c r="O100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7" i="2"/>
  <c r="O46" i="2"/>
  <c r="O45" i="2"/>
  <c r="O44" i="2"/>
  <c r="O43" i="2"/>
  <c r="O42" i="2"/>
  <c r="O41" i="2"/>
  <c r="O40" i="2"/>
  <c r="O38" i="2"/>
  <c r="O37" i="2"/>
  <c r="O36" i="2"/>
  <c r="O35" i="2"/>
  <c r="O34" i="2"/>
  <c r="O33" i="2"/>
  <c r="O32" i="2"/>
  <c r="O31" i="2"/>
  <c r="O30" i="2"/>
  <c r="O28" i="2"/>
  <c r="O27" i="2"/>
  <c r="O26" i="2"/>
  <c r="O25" i="2"/>
  <c r="O23" i="2"/>
  <c r="O22" i="2"/>
  <c r="O21" i="2"/>
  <c r="O20" i="2"/>
  <c r="O18" i="2"/>
  <c r="O17" i="2"/>
  <c r="O16" i="2"/>
  <c r="O14" i="2"/>
  <c r="O13" i="2"/>
  <c r="O12" i="2"/>
  <c r="O11" i="2"/>
  <c r="O10" i="2"/>
  <c r="O9" i="2"/>
  <c r="O8" i="2"/>
  <c r="O117" i="3" l="1"/>
</calcChain>
</file>

<file path=xl/sharedStrings.xml><?xml version="1.0" encoding="utf-8"?>
<sst xmlns="http://schemas.openxmlformats.org/spreadsheetml/2006/main" count="4049" uniqueCount="2040">
  <si>
    <t xml:space="preserve">UBND TỈNH HƯNG YÊN </t>
  </si>
  <si>
    <t xml:space="preserve">DANH SÁCH CHUYỂN XẾP LƯƠNG - XÍ NGHIỆP KTCTTL THÁI THỤY </t>
  </si>
  <si>
    <t xml:space="preserve">CÔNG TY TNHH MỘT THÀNH VIÊN 
</t>
  </si>
  <si>
    <t>Tháng 01/2026</t>
  </si>
  <si>
    <t>KTCTTL BẮC THÁI BÌNH</t>
  </si>
  <si>
    <t xml:space="preserve">STT </t>
  </si>
  <si>
    <t>Họ và tên</t>
  </si>
  <si>
    <t>Giới tính</t>
  </si>
  <si>
    <t xml:space="preserve">Mã số BHXH </t>
  </si>
  <si>
    <t xml:space="preserve">Ngày tháng năm sinh </t>
  </si>
  <si>
    <t xml:space="preserve">Số CCCD </t>
  </si>
  <si>
    <t xml:space="preserve">Thời gian đóng BHXH tại Công ty </t>
  </si>
  <si>
    <t>Chuyên môn nghiệp vụ</t>
  </si>
  <si>
    <t>Trình độ</t>
  </si>
  <si>
    <t xml:space="preserve">Chuyển xếp lương </t>
  </si>
  <si>
    <t xml:space="preserve">Bậc mới </t>
  </si>
  <si>
    <t xml:space="preserve">Hệ số mới </t>
  </si>
  <si>
    <t>PCCV</t>
  </si>
  <si>
    <t>PCTN</t>
  </si>
  <si>
    <t xml:space="preserve">Lương mới </t>
  </si>
  <si>
    <t>Đoàn Thị Hà</t>
  </si>
  <si>
    <t>x</t>
  </si>
  <si>
    <t>2602002554</t>
  </si>
  <si>
    <t>21/10/1975</t>
  </si>
  <si>
    <t>034175003185</t>
  </si>
  <si>
    <t>10/2000</t>
  </si>
  <si>
    <t>Giám đốc Xí nghiệp</t>
  </si>
  <si>
    <t>Kỹ sư thủy lợi</t>
  </si>
  <si>
    <t>2/6</t>
  </si>
  <si>
    <t>Nguyễn Văn Dương</t>
  </si>
  <si>
    <t>0307002509</t>
  </si>
  <si>
    <t>08/10/1983</t>
  </si>
  <si>
    <t>034183004354</t>
  </si>
  <si>
    <t>4/1995</t>
  </si>
  <si>
    <t>Phó giám đốc Xí nghiệp</t>
  </si>
  <si>
    <t>1/6</t>
  </si>
  <si>
    <t>4,00</t>
  </si>
  <si>
    <t>4/8</t>
  </si>
  <si>
    <t>Nguyễn Thị Thanh</t>
  </si>
  <si>
    <t>3413004600</t>
  </si>
  <si>
    <t>27/01/1990</t>
  </si>
  <si>
    <t>034090000924</t>
  </si>
  <si>
    <t>6/2013</t>
  </si>
  <si>
    <t>6/8</t>
  </si>
  <si>
    <t>Bùi Viết Hưng</t>
  </si>
  <si>
    <t>01/08/1972</t>
  </si>
  <si>
    <t>034072001764</t>
  </si>
  <si>
    <t>2/1995</t>
  </si>
  <si>
    <t>Tổ trưởng</t>
  </si>
  <si>
    <t>Cử nhân kinh tế</t>
  </si>
  <si>
    <t>8/8</t>
  </si>
  <si>
    <t>Lê Thị Ninh Chi</t>
  </si>
  <si>
    <t>28/11/1980</t>
  </si>
  <si>
    <t>034180002308</t>
  </si>
  <si>
    <t>2/1996</t>
  </si>
  <si>
    <t>Nhân viên hành chính</t>
  </si>
  <si>
    <t>Tạ Thị Hằng</t>
  </si>
  <si>
    <t>3408015798</t>
  </si>
  <si>
    <t>18/07/1987</t>
  </si>
  <si>
    <t>034187001226</t>
  </si>
  <si>
    <t>2/1997</t>
  </si>
  <si>
    <t>Văn thư</t>
  </si>
  <si>
    <t>Cử nhân kế toán</t>
  </si>
  <si>
    <t>3/8</t>
  </si>
  <si>
    <t>Bùi Quang Anh</t>
  </si>
  <si>
    <t>02/05/1969</t>
  </si>
  <si>
    <t>034069004501</t>
  </si>
  <si>
    <t>2/1999</t>
  </si>
  <si>
    <t>Lái xe</t>
  </si>
  <si>
    <t>Công nhân lái xe</t>
  </si>
  <si>
    <t>4/4</t>
  </si>
  <si>
    <t>Tổ Kế Toán</t>
  </si>
  <si>
    <t>Nguyễn Thị Anh</t>
  </si>
  <si>
    <t>0306019791</t>
  </si>
  <si>
    <t>06/08/1981</t>
  </si>
  <si>
    <t>034181019426</t>
  </si>
  <si>
    <t>5/2010</t>
  </si>
  <si>
    <t xml:space="preserve">Tổ trưởng </t>
  </si>
  <si>
    <t>Cử nhân quản trị tài chính</t>
  </si>
  <si>
    <t>0,2</t>
  </si>
  <si>
    <t>Nguyễn Thị Thanh Phương</t>
  </si>
  <si>
    <t>3414008578</t>
  </si>
  <si>
    <t>08/03/1989</t>
  </si>
  <si>
    <t>034189006038</t>
  </si>
  <si>
    <t>10/2014</t>
  </si>
  <si>
    <t xml:space="preserve">Kế toán </t>
  </si>
  <si>
    <t xml:space="preserve">Nguyễn Thị Thùy Trang </t>
  </si>
  <si>
    <t>3416025962</t>
  </si>
  <si>
    <t>034193003527</t>
  </si>
  <si>
    <t>9/2022</t>
  </si>
  <si>
    <t>2/8</t>
  </si>
  <si>
    <t>Lê Phương Thúy</t>
  </si>
  <si>
    <t>08/06/1987</t>
  </si>
  <si>
    <t>034187018996</t>
  </si>
  <si>
    <t>1/2008</t>
  </si>
  <si>
    <t>Thủ kho-quỹ</t>
  </si>
  <si>
    <t>5/8</t>
  </si>
  <si>
    <t>Tổ Kế hoạch - Kỹ thuật</t>
  </si>
  <si>
    <t>Phan Văn Nhật</t>
  </si>
  <si>
    <t>2604004209</t>
  </si>
  <si>
    <t>13/07/1982</t>
  </si>
  <si>
    <t>034082024511</t>
  </si>
  <si>
    <t>1/2004</t>
  </si>
  <si>
    <t xml:space="preserve">Nguyễn Thị Xuyến </t>
  </si>
  <si>
    <t>3416004304</t>
  </si>
  <si>
    <t>07/08/1994</t>
  </si>
  <si>
    <t>034194012917</t>
  </si>
  <si>
    <t>1/2016</t>
  </si>
  <si>
    <t>Nhân viên tổ Kế hoạch KT</t>
  </si>
  <si>
    <t>Bùi Thị Thảo</t>
  </si>
  <si>
    <t>3421167786</t>
  </si>
  <si>
    <t>10/12/1995</t>
  </si>
  <si>
    <t>034195009391</t>
  </si>
  <si>
    <t>2/2019</t>
  </si>
  <si>
    <t>Lê Thị Nhài</t>
  </si>
  <si>
    <t>2606003269</t>
  </si>
  <si>
    <t>26/01/1984</t>
  </si>
  <si>
    <t>034184007146</t>
  </si>
  <si>
    <t>12/2005</t>
  </si>
  <si>
    <t>Bùi Văn Trường</t>
  </si>
  <si>
    <t>21/09/1991</t>
  </si>
  <si>
    <t>034091017833</t>
  </si>
  <si>
    <t>9/2014</t>
  </si>
  <si>
    <t>Tổ trưởng sửa chữa</t>
  </si>
  <si>
    <t>Đào Xuân Khánh</t>
  </si>
  <si>
    <t>3411000513</t>
  </si>
  <si>
    <t>23/07/1981</t>
  </si>
  <si>
    <t>034081009892</t>
  </si>
  <si>
    <t>11/2010</t>
  </si>
  <si>
    <t>Công nhân sửa chữa</t>
  </si>
  <si>
    <t>5/7</t>
  </si>
  <si>
    <t>Nguyễn Tiến Đạt</t>
  </si>
  <si>
    <t>7022478928</t>
  </si>
  <si>
    <t>13/02/1987</t>
  </si>
  <si>
    <t>034087020009</t>
  </si>
  <si>
    <t>1/2022</t>
  </si>
  <si>
    <t>Công nhân quản lý thủy nông</t>
  </si>
  <si>
    <t>3/7</t>
  </si>
  <si>
    <t>Lê Văn Viển</t>
  </si>
  <si>
    <t>18/04/1969</t>
  </si>
  <si>
    <t>034069013929</t>
  </si>
  <si>
    <t>Cụm Thái Phúc</t>
  </si>
  <si>
    <t>Nguyễn Bá Tuấn</t>
  </si>
  <si>
    <t>01/08/1977</t>
  </si>
  <si>
    <t>034077001796</t>
  </si>
  <si>
    <t>Cụm trưởng</t>
  </si>
  <si>
    <t>Dương Quang Huy</t>
  </si>
  <si>
    <t>3415007449</t>
  </si>
  <si>
    <t>26/02/1992</t>
  </si>
  <si>
    <t>034092009593</t>
  </si>
  <si>
    <t xml:space="preserve">Cán bộ kỹ thuật cụm </t>
  </si>
  <si>
    <t xml:space="preserve">Lưu Thị Huyền Trang </t>
  </si>
  <si>
    <t>3421143514</t>
  </si>
  <si>
    <t>034199000964</t>
  </si>
  <si>
    <t>5/2023</t>
  </si>
  <si>
    <t>1/8</t>
  </si>
  <si>
    <t>Nguyễn Đình Thản</t>
  </si>
  <si>
    <t>2696027276</t>
  </si>
  <si>
    <t>08/06/1977</t>
  </si>
  <si>
    <t>034077006133</t>
  </si>
  <si>
    <t>6/7</t>
  </si>
  <si>
    <t>Nguyễn Như Trìu</t>
  </si>
  <si>
    <t>16/08/1971</t>
  </si>
  <si>
    <t>034071008542</t>
  </si>
  <si>
    <t>7/7</t>
  </si>
  <si>
    <t>6/6</t>
  </si>
  <si>
    <t>Nguyễn Viết Xuân</t>
  </si>
  <si>
    <t>2601002540</t>
  </si>
  <si>
    <t>06/09/1977</t>
  </si>
  <si>
    <t>034077003321</t>
  </si>
  <si>
    <t xml:space="preserve">Cống trưởng </t>
  </si>
  <si>
    <t>Nguyễn Thị Thắm</t>
  </si>
  <si>
    <t>3412015352</t>
  </si>
  <si>
    <t>12/12/1982</t>
  </si>
  <si>
    <t>034182005299</t>
  </si>
  <si>
    <t>4/7</t>
  </si>
  <si>
    <t>3/6</t>
  </si>
  <si>
    <t>Phạm Thị Dự</t>
  </si>
  <si>
    <t>30/01/1979</t>
  </si>
  <si>
    <t>034179003916</t>
  </si>
  <si>
    <t>Trung cấp thủy lợi</t>
  </si>
  <si>
    <t>10/12</t>
  </si>
  <si>
    <t>Giang Quế Anh</t>
  </si>
  <si>
    <t>3421078954</t>
  </si>
  <si>
    <t>22/08/2002</t>
  </si>
  <si>
    <t>034302001602</t>
  </si>
  <si>
    <t xml:space="preserve">Phí Đức Mạnh </t>
  </si>
  <si>
    <t>3422289869</t>
  </si>
  <si>
    <t>31/8/1994</t>
  </si>
  <si>
    <t>034094001147</t>
  </si>
  <si>
    <t>2/7</t>
  </si>
  <si>
    <t>Giang Công Sơn</t>
  </si>
  <si>
    <t>09/10/1978</t>
  </si>
  <si>
    <t>034078006621</t>
  </si>
  <si>
    <t>Cụm Thái Hồng</t>
  </si>
  <si>
    <t>19/08/1975</t>
  </si>
  <si>
    <t>034175617153</t>
  </si>
  <si>
    <t>9/2009</t>
  </si>
  <si>
    <t>7/8</t>
  </si>
  <si>
    <t>Nguyễn Hồng Huế</t>
  </si>
  <si>
    <t>06/01/1983</t>
  </si>
  <si>
    <t>034183003173</t>
  </si>
  <si>
    <t>Đoàn Quang Tuyến</t>
  </si>
  <si>
    <t>02/11/1988</t>
  </si>
  <si>
    <t>034088009420</t>
  </si>
  <si>
    <t>4/2015</t>
  </si>
  <si>
    <t>Phạm Thị Dung</t>
  </si>
  <si>
    <t>05/08/1976</t>
  </si>
  <si>
    <t>034176022120</t>
  </si>
  <si>
    <t>1/1994</t>
  </si>
  <si>
    <t>Giang Văn Hắc</t>
  </si>
  <si>
    <t>2698041221</t>
  </si>
  <si>
    <t>02/01/1975</t>
  </si>
  <si>
    <t>034075025163</t>
  </si>
  <si>
    <t>3/1997</t>
  </si>
  <si>
    <t>Nguyễn Hữu Đậu</t>
  </si>
  <si>
    <t>15/02/1976</t>
  </si>
  <si>
    <t>034076021791</t>
  </si>
  <si>
    <t>0,1</t>
  </si>
  <si>
    <t>4/6</t>
  </si>
  <si>
    <t>Đàm Văn Đô</t>
  </si>
  <si>
    <t>3413006339</t>
  </si>
  <si>
    <t>23/10/1981</t>
  </si>
  <si>
    <t>034081019846</t>
  </si>
  <si>
    <t>8/2013</t>
  </si>
  <si>
    <t>Công nhân vận hành bơm điện</t>
  </si>
  <si>
    <t>Đàm Thị Thắm</t>
  </si>
  <si>
    <t>3413016942</t>
  </si>
  <si>
    <t>19/11/1979</t>
  </si>
  <si>
    <t>034179000296</t>
  </si>
  <si>
    <t>10/2019</t>
  </si>
  <si>
    <t>Đoàn Quang Vinh</t>
  </si>
  <si>
    <t>03/11/1981</t>
  </si>
  <si>
    <t>034081017160</t>
  </si>
  <si>
    <t>5/2004</t>
  </si>
  <si>
    <t>Cao Minh Tuấn</t>
  </si>
  <si>
    <t>02/06/1970</t>
  </si>
  <si>
    <t>034070003130</t>
  </si>
  <si>
    <t>10/1990</t>
  </si>
  <si>
    <t>Phạm Xuân Trường</t>
  </si>
  <si>
    <t>14/05/1972</t>
  </si>
  <si>
    <t>034072019874</t>
  </si>
  <si>
    <t>Nguyễn Thị Sinh</t>
  </si>
  <si>
    <t>06/12/1971</t>
  </si>
  <si>
    <t>034171018547</t>
  </si>
  <si>
    <t>7/1991</t>
  </si>
  <si>
    <t>Cụm TN Hệ</t>
  </si>
  <si>
    <t>Lê Văn Vinh</t>
  </si>
  <si>
    <t>3421026509</t>
  </si>
  <si>
    <t>02/03/1993</t>
  </si>
  <si>
    <t>034093011722</t>
  </si>
  <si>
    <t>5/2018</t>
  </si>
  <si>
    <t>Bùi Thị Hường</t>
  </si>
  <si>
    <t>3416083378</t>
  </si>
  <si>
    <t>06/09/1990</t>
  </si>
  <si>
    <t>034190012060</t>
  </si>
  <si>
    <t>8/2017</t>
  </si>
  <si>
    <t>Nguyễn Văn Kiên</t>
  </si>
  <si>
    <t>2607009653</t>
  </si>
  <si>
    <t>24/02/1977</t>
  </si>
  <si>
    <t>034077000374</t>
  </si>
  <si>
    <t>Bùi Thị Thơ</t>
  </si>
  <si>
    <t>08/11/1982</t>
  </si>
  <si>
    <t>034182022878</t>
  </si>
  <si>
    <t>11/2004</t>
  </si>
  <si>
    <t>Bùi Thị Minh Oanh</t>
  </si>
  <si>
    <t>2606003270</t>
  </si>
  <si>
    <t>29/11/1985</t>
  </si>
  <si>
    <t>034185004727</t>
  </si>
  <si>
    <t>Vũ Văn Sửu</t>
  </si>
  <si>
    <t>28/09/1976</t>
  </si>
  <si>
    <t>034076004235</t>
  </si>
  <si>
    <t>Trạm trưởng</t>
  </si>
  <si>
    <t xml:space="preserve">Công nhân điện </t>
  </si>
  <si>
    <t>Tạ Văn Điềm</t>
  </si>
  <si>
    <t>04/06/1965</t>
  </si>
  <si>
    <t>034065004236</t>
  </si>
  <si>
    <t>8/1983</t>
  </si>
  <si>
    <t>Phạm Thị Thùy Linh</t>
  </si>
  <si>
    <t>13/10/1984</t>
  </si>
  <si>
    <t>034184003065</t>
  </si>
  <si>
    <t>Bùi Quang Trung</t>
  </si>
  <si>
    <t>3421171310</t>
  </si>
  <si>
    <t>12/10/1995</t>
  </si>
  <si>
    <t>034095004454</t>
  </si>
  <si>
    <t>7/2018</t>
  </si>
  <si>
    <t>Cống trưởng</t>
  </si>
  <si>
    <t>Lê Thị Niên</t>
  </si>
  <si>
    <t>0111174341</t>
  </si>
  <si>
    <t>28/10/1990</t>
  </si>
  <si>
    <t>034190012270</t>
  </si>
  <si>
    <t>1/2011</t>
  </si>
  <si>
    <t>Nguyễn Mạnh Đại</t>
  </si>
  <si>
    <t>3420998805</t>
  </si>
  <si>
    <t>02/01/1997</t>
  </si>
  <si>
    <t>034097004018</t>
  </si>
  <si>
    <t>1/2020</t>
  </si>
  <si>
    <t>Nguyễn Thị Huế</t>
  </si>
  <si>
    <t>2604004210</t>
  </si>
  <si>
    <t>15/10/1981</t>
  </si>
  <si>
    <t>034181003631</t>
  </si>
  <si>
    <t>2/1998</t>
  </si>
  <si>
    <t>11/12</t>
  </si>
  <si>
    <t>Vũ Thị Giang</t>
  </si>
  <si>
    <t>5220555064</t>
  </si>
  <si>
    <t>034199012964</t>
  </si>
  <si>
    <t>2/2024</t>
  </si>
  <si>
    <t xml:space="preserve">Vũ Hữu Hoan </t>
  </si>
  <si>
    <t>3420980249</t>
  </si>
  <si>
    <t>06/06/1981</t>
  </si>
  <si>
    <t>034081015239</t>
  </si>
  <si>
    <t>10/2025</t>
  </si>
  <si>
    <t>Trần Minh Đức</t>
  </si>
  <si>
    <t>3408017203</t>
  </si>
  <si>
    <t>30/07/1980</t>
  </si>
  <si>
    <t>034080011914</t>
  </si>
  <si>
    <t>7/2007</t>
  </si>
  <si>
    <t>Cụm Thái Học</t>
  </si>
  <si>
    <t>Bùi Thị Trang</t>
  </si>
  <si>
    <t>3415008018</t>
  </si>
  <si>
    <t>04/01/1991</t>
  </si>
  <si>
    <t>034191019638</t>
  </si>
  <si>
    <t>9/2015</t>
  </si>
  <si>
    <t>Vũ Thị Tuyết</t>
  </si>
  <si>
    <t>01/05/1984</t>
  </si>
  <si>
    <t>034184020245</t>
  </si>
  <si>
    <t>Đinh Quốc Việt</t>
  </si>
  <si>
    <t>3422374096</t>
  </si>
  <si>
    <t>08/11/1997</t>
  </si>
  <si>
    <t>034097015648</t>
  </si>
  <si>
    <t>1/8/2020</t>
  </si>
  <si>
    <t>Phạm Ngọc Nhơn</t>
  </si>
  <si>
    <t>18/08/1989</t>
  </si>
  <si>
    <t>034089015768</t>
  </si>
  <si>
    <t xml:space="preserve">Cao đẳng thủy lợi </t>
  </si>
  <si>
    <t>7/12</t>
  </si>
  <si>
    <t>Nguyễn Thanh Tú</t>
  </si>
  <si>
    <t>3420728308</t>
  </si>
  <si>
    <t>11/09/1994</t>
  </si>
  <si>
    <t>034094003758</t>
  </si>
  <si>
    <t>9/2019</t>
  </si>
  <si>
    <t>Nguyễn Thị Thương</t>
  </si>
  <si>
    <t>3421083649</t>
  </si>
  <si>
    <t>034196008849</t>
  </si>
  <si>
    <t>Nguyễn Thị Lý</t>
  </si>
  <si>
    <t>3422319844</t>
  </si>
  <si>
    <t>034303009983</t>
  </si>
  <si>
    <t>11/2022</t>
  </si>
  <si>
    <t>Cao Hữu Quận</t>
  </si>
  <si>
    <t>06/09/1976</t>
  </si>
  <si>
    <t>034076025243</t>
  </si>
  <si>
    <t xml:space="preserve">Cao Trung Mạnh </t>
  </si>
  <si>
    <t>3421098281</t>
  </si>
  <si>
    <t>034089001484</t>
  </si>
  <si>
    <t>3/2023</t>
  </si>
  <si>
    <t>Cao đẳng điện</t>
  </si>
  <si>
    <t>2/12</t>
  </si>
  <si>
    <t>Phạm Văn Hải</t>
  </si>
  <si>
    <t>17/12/1969</t>
  </si>
  <si>
    <t>034069016607</t>
  </si>
  <si>
    <t>Đào Thanh Chương</t>
  </si>
  <si>
    <t>19/10/1985</t>
  </si>
  <si>
    <t>034085012400</t>
  </si>
  <si>
    <t>1/2012</t>
  </si>
  <si>
    <t>Trần Thị Hồng Loan</t>
  </si>
  <si>
    <t>3422055740</t>
  </si>
  <si>
    <t>21/12/1982</t>
  </si>
  <si>
    <t>034182012395</t>
  </si>
  <si>
    <t>3420944459</t>
  </si>
  <si>
    <t>29/12/1994</t>
  </si>
  <si>
    <t>034194003394</t>
  </si>
  <si>
    <t>9/2021</t>
  </si>
  <si>
    <t>Cụm TN Thái Đô</t>
  </si>
  <si>
    <t>Lê Thị Ngọc</t>
  </si>
  <si>
    <t>20/08/1984</t>
  </si>
  <si>
    <t>034184007151</t>
  </si>
  <si>
    <t>Phạm Hồng Quân</t>
  </si>
  <si>
    <t>2696027283</t>
  </si>
  <si>
    <t>16/07/1972</t>
  </si>
  <si>
    <t>034072009611</t>
  </si>
  <si>
    <t>2/1994</t>
  </si>
  <si>
    <t>Nguyễn Thị Lan Oanh</t>
  </si>
  <si>
    <t>15/12/1984</t>
  </si>
  <si>
    <t>034184006834</t>
  </si>
  <si>
    <t>Trần Quốc Vương</t>
  </si>
  <si>
    <t>11/09/1992</t>
  </si>
  <si>
    <t>034092001713</t>
  </si>
  <si>
    <t>3/2013</t>
  </si>
  <si>
    <t>Đào Trọng Huyên</t>
  </si>
  <si>
    <t>0100041409</t>
  </si>
  <si>
    <t>31/12/1973</t>
  </si>
  <si>
    <t>034073002039</t>
  </si>
  <si>
    <t>3/1993</t>
  </si>
  <si>
    <t>2605003014</t>
  </si>
  <si>
    <t>29/10/1983</t>
  </si>
  <si>
    <t>034083005110</t>
  </si>
  <si>
    <t>12/2004</t>
  </si>
  <si>
    <t>Nguyễn Tiến Dục</t>
  </si>
  <si>
    <t>27/11/1974</t>
  </si>
  <si>
    <t>034074023041</t>
  </si>
  <si>
    <t>3/1994</t>
  </si>
  <si>
    <t>Nguyễn Thiết Hùng</t>
  </si>
  <si>
    <t>2698041236</t>
  </si>
  <si>
    <t>01/08/1965</t>
  </si>
  <si>
    <t>034065002231</t>
  </si>
  <si>
    <t>5/1986</t>
  </si>
  <si>
    <t>Tạ Văn Trung</t>
  </si>
  <si>
    <t>3411017025</t>
  </si>
  <si>
    <t>07/10/1986</t>
  </si>
  <si>
    <t>034086000458</t>
  </si>
  <si>
    <t>1/2019</t>
  </si>
  <si>
    <t>Nguyễn Quang Viễn</t>
  </si>
  <si>
    <t>02/02/1970</t>
  </si>
  <si>
    <t>034070003751</t>
  </si>
  <si>
    <t xml:space="preserve">Vũ Thị Minh Tới </t>
  </si>
  <si>
    <t>8704008960</t>
  </si>
  <si>
    <t>10/10/1979</t>
  </si>
  <si>
    <t>034179002013</t>
  </si>
  <si>
    <t>7/2022</t>
  </si>
  <si>
    <t>Cao đẳng thủy lợi</t>
  </si>
  <si>
    <t xml:space="preserve">Nguyễn Văn Khang </t>
  </si>
  <si>
    <t>3422407908</t>
  </si>
  <si>
    <t>034095002412</t>
  </si>
  <si>
    <t>10/2024</t>
  </si>
  <si>
    <t xml:space="preserve">Cao Hữu Chung </t>
  </si>
  <si>
    <t>034204007027</t>
  </si>
  <si>
    <t>11/2025</t>
  </si>
  <si>
    <t>Bùi Văn Đông</t>
  </si>
  <si>
    <t>17/02/1975</t>
  </si>
  <si>
    <t>034075023383</t>
  </si>
  <si>
    <t>2/2004</t>
  </si>
  <si>
    <t>Cụm Phong Lẫm</t>
  </si>
  <si>
    <t>Mai Công Khanh</t>
  </si>
  <si>
    <t>2696027225</t>
  </si>
  <si>
    <t>25/11/1975</t>
  </si>
  <si>
    <t>034075017907</t>
  </si>
  <si>
    <t>6/1995</t>
  </si>
  <si>
    <t>Nguyễn Thị Hà</t>
  </si>
  <si>
    <t>24/10/1982</t>
  </si>
  <si>
    <t>034182001566</t>
  </si>
  <si>
    <t>4/2004</t>
  </si>
  <si>
    <t>Cụm phó</t>
  </si>
  <si>
    <t>Tạ Thị Danh</t>
  </si>
  <si>
    <t>06/12/1977</t>
  </si>
  <si>
    <t>034177000290</t>
  </si>
  <si>
    <t>5/1999</t>
  </si>
  <si>
    <t>Nguyễn Thị Minh Huệ</t>
  </si>
  <si>
    <t>21/05/1970</t>
  </si>
  <si>
    <t>034170017957</t>
  </si>
  <si>
    <t>8/1999</t>
  </si>
  <si>
    <t>Trần Thị Xoa</t>
  </si>
  <si>
    <t>12/06/1976</t>
  </si>
  <si>
    <t>034176021324</t>
  </si>
  <si>
    <t>12/1993</t>
  </si>
  <si>
    <t>Mai Thị Thơ</t>
  </si>
  <si>
    <t>3411005401</t>
  </si>
  <si>
    <t>08/09/1976</t>
  </si>
  <si>
    <t>034175022492</t>
  </si>
  <si>
    <t>6/2012</t>
  </si>
  <si>
    <t>Vũ Công Thành</t>
  </si>
  <si>
    <t>03/09/1968</t>
  </si>
  <si>
    <t>034068026517</t>
  </si>
  <si>
    <t>7/1987</t>
  </si>
  <si>
    <t>Đặng Đức Thuật</t>
  </si>
  <si>
    <t>05/04/1972</t>
  </si>
  <si>
    <t>034072014957</t>
  </si>
  <si>
    <t>12/1991</t>
  </si>
  <si>
    <t xml:space="preserve">Nguyễn Ngọc Phú </t>
  </si>
  <si>
    <t>3111019155</t>
  </si>
  <si>
    <t>034084013508</t>
  </si>
  <si>
    <t>1/2025</t>
  </si>
  <si>
    <t>Nguyễn Hồng Quang</t>
  </si>
  <si>
    <t>13/08/1970</t>
  </si>
  <si>
    <t>034070024574</t>
  </si>
  <si>
    <t>3/1989</t>
  </si>
  <si>
    <t>Cụm TN Thụy Quỳnh</t>
  </si>
  <si>
    <t>Phạm Thị Minh Phương</t>
  </si>
  <si>
    <t>18/06/1978</t>
  </si>
  <si>
    <t>034178022007</t>
  </si>
  <si>
    <t>12/1994</t>
  </si>
  <si>
    <t>Nguyễn Thị Thảo</t>
  </si>
  <si>
    <t>05/01/1984</t>
  </si>
  <si>
    <t>034184008445</t>
  </si>
  <si>
    <t>Nguyễn Hữu Chinh</t>
  </si>
  <si>
    <t>3414015822</t>
  </si>
  <si>
    <t>05/10/1993</t>
  </si>
  <si>
    <t>034093000709</t>
  </si>
  <si>
    <t>3/2014</t>
  </si>
  <si>
    <t>Trần Đình Thiện</t>
  </si>
  <si>
    <t>20/09/1968</t>
  </si>
  <si>
    <t>034068003160</t>
  </si>
  <si>
    <t>6/1992</t>
  </si>
  <si>
    <t>Tạ Đồng Nam</t>
  </si>
  <si>
    <t>2696027238</t>
  </si>
  <si>
    <t>24/11/1974</t>
  </si>
  <si>
    <t>034074003971</t>
  </si>
  <si>
    <t>3411000515</t>
  </si>
  <si>
    <t>10/05/1981</t>
  </si>
  <si>
    <t>034081010113</t>
  </si>
  <si>
    <t>Lê Tất Tiến</t>
  </si>
  <si>
    <t>3412001419</t>
  </si>
  <si>
    <t>07/05/1988</t>
  </si>
  <si>
    <t>034088009618</t>
  </si>
  <si>
    <t>Đoàn Thị Thục</t>
  </si>
  <si>
    <t>3412015241</t>
  </si>
  <si>
    <t>26/01/1986</t>
  </si>
  <si>
    <t>034186005349</t>
  </si>
  <si>
    <t>Ngô Trung Kiên</t>
  </si>
  <si>
    <t>07/08/1983</t>
  </si>
  <si>
    <t>034083007044</t>
  </si>
  <si>
    <t>Nguyễn Duy Sơn</t>
  </si>
  <si>
    <t>3421158667</t>
  </si>
  <si>
    <t>01/10/1991</t>
  </si>
  <si>
    <t>034091005368</t>
  </si>
  <si>
    <t>4/2019</t>
  </si>
  <si>
    <t>Ngô Thị Duyên</t>
  </si>
  <si>
    <t>15/11/1980</t>
  </si>
  <si>
    <t>034180000843</t>
  </si>
  <si>
    <t>6/1984</t>
  </si>
  <si>
    <t>Nguyễn Trọng Thanh</t>
  </si>
  <si>
    <t>09/01/1975</t>
  </si>
  <si>
    <t>034075001641</t>
  </si>
  <si>
    <t>8/1994</t>
  </si>
  <si>
    <t xml:space="preserve"> Cụm TN Trường Xuân Hà</t>
  </si>
  <si>
    <t>Đoàn Duy Cường</t>
  </si>
  <si>
    <t>30/10/1973</t>
  </si>
  <si>
    <t>034073025569</t>
  </si>
  <si>
    <t>Đào Thị Phượng</t>
  </si>
  <si>
    <t>3411000514</t>
  </si>
  <si>
    <t>21/07/1987</t>
  </si>
  <si>
    <t>034187009822</t>
  </si>
  <si>
    <t>Hoàng Đức Quang</t>
  </si>
  <si>
    <t>25/10/1969</t>
  </si>
  <si>
    <t>034069003421</t>
  </si>
  <si>
    <t>7/2002</t>
  </si>
  <si>
    <t>Phạm Phú Phòng</t>
  </si>
  <si>
    <t>01/04/1970</t>
  </si>
  <si>
    <t>034070009156</t>
  </si>
  <si>
    <t>3/1988</t>
  </si>
  <si>
    <t>Lưu Thị Lan Anh</t>
  </si>
  <si>
    <t>3422089583</t>
  </si>
  <si>
    <t>10/10/1994</t>
  </si>
  <si>
    <t>034194003094</t>
  </si>
  <si>
    <t>11/2019</t>
  </si>
  <si>
    <t>Hoàng Đức Dương</t>
  </si>
  <si>
    <t>07/11/1977</t>
  </si>
  <si>
    <t>034077018369</t>
  </si>
  <si>
    <t>Nguyễn Văn Tĩnh</t>
  </si>
  <si>
    <t>06/03/1970</t>
  </si>
  <si>
    <t>034070006089</t>
  </si>
  <si>
    <t>10/2010</t>
  </si>
  <si>
    <t>Đỗ Đức Chiến</t>
  </si>
  <si>
    <t>3411017218</t>
  </si>
  <si>
    <t>24/04/1977</t>
  </si>
  <si>
    <t>034077002388</t>
  </si>
  <si>
    <t>Nguyễn Đức Hải</t>
  </si>
  <si>
    <t>26/03/1990</t>
  </si>
  <si>
    <t>034090019003</t>
  </si>
  <si>
    <t>5/2012</t>
  </si>
  <si>
    <t>Nguyễn Sỹ Ký</t>
  </si>
  <si>
    <t>3415021012</t>
  </si>
  <si>
    <t>05/10/1972</t>
  </si>
  <si>
    <t>034072005737</t>
  </si>
  <si>
    <t>1/2017</t>
  </si>
  <si>
    <t>Đặng Văn Sản</t>
  </si>
  <si>
    <t>3411000510</t>
  </si>
  <si>
    <t>18/07/1983</t>
  </si>
  <si>
    <t>034083010282</t>
  </si>
  <si>
    <t>Đoàn Năng Vương</t>
  </si>
  <si>
    <t>14/07/1984</t>
  </si>
  <si>
    <t>034084011444</t>
  </si>
  <si>
    <t xml:space="preserve">Đinh Thị Quyên </t>
  </si>
  <si>
    <t>2213010799</t>
  </si>
  <si>
    <t>034193004558</t>
  </si>
  <si>
    <t>11/2024</t>
  </si>
  <si>
    <t>Vũ Thị Thắm</t>
  </si>
  <si>
    <t>22/08/1972</t>
  </si>
  <si>
    <t>034172006702</t>
  </si>
  <si>
    <t>2/2001</t>
  </si>
  <si>
    <t>DANH SÁCH CHUYỂN XẾP LƯƠNG - XÍ NGHIỆP KTCTTL QUỲNH PHỤ</t>
  </si>
  <si>
    <t>Phạm Đình Thụy</t>
  </si>
  <si>
    <t>2696021086</t>
  </si>
  <si>
    <t>20/03/1972</t>
  </si>
  <si>
    <t>034072020518</t>
  </si>
  <si>
    <t>7/1986</t>
  </si>
  <si>
    <t>4,66</t>
  </si>
  <si>
    <t>Đỗ Văn Hiển</t>
  </si>
  <si>
    <t>2696021089</t>
  </si>
  <si>
    <t>22/10/1971</t>
  </si>
  <si>
    <t>034071008866</t>
  </si>
  <si>
    <t>7/1985</t>
  </si>
  <si>
    <t>Bùi Huy Trường</t>
  </si>
  <si>
    <t>2696020960</t>
  </si>
  <si>
    <t>27/10/1969</t>
  </si>
  <si>
    <t>034069007731</t>
  </si>
  <si>
    <t>3/1991</t>
  </si>
  <si>
    <t>Bùi Văn Dũng</t>
  </si>
  <si>
    <t>2699040028</t>
  </si>
  <si>
    <t>10/11/1977</t>
  </si>
  <si>
    <t>034077011470</t>
  </si>
  <si>
    <t>4,2</t>
  </si>
  <si>
    <t>Đào Thị Nhài</t>
  </si>
  <si>
    <t>06/11/1984</t>
  </si>
  <si>
    <t>034184005450</t>
  </si>
  <si>
    <t>3,89</t>
  </si>
  <si>
    <t>Phạm Thị Thủy</t>
  </si>
  <si>
    <t>3416001768</t>
  </si>
  <si>
    <t>18/09/1993</t>
  </si>
  <si>
    <t>034193012631</t>
  </si>
  <si>
    <t xml:space="preserve">Tạp vụ </t>
  </si>
  <si>
    <t>2,55</t>
  </si>
  <si>
    <t>Nguyễn Xuân Nhượng</t>
  </si>
  <si>
    <t>06/01/1978</t>
  </si>
  <si>
    <t>034078024111</t>
  </si>
  <si>
    <t>7/1988</t>
  </si>
  <si>
    <t>3,60</t>
  </si>
  <si>
    <t xml:space="preserve">Vũ Tất Thơm </t>
  </si>
  <si>
    <t>2696021096</t>
  </si>
  <si>
    <t>14/08/1967</t>
  </si>
  <si>
    <t>034067002683</t>
  </si>
  <si>
    <t>11/1996</t>
  </si>
  <si>
    <t xml:space="preserve">Bảo vệ </t>
  </si>
  <si>
    <t>4,20</t>
  </si>
  <si>
    <t>Tổ Kế toán</t>
  </si>
  <si>
    <t>Nguyễn Tiến Hưng</t>
  </si>
  <si>
    <t>2606006907</t>
  </si>
  <si>
    <t>05/10/1982</t>
  </si>
  <si>
    <t>034082014942</t>
  </si>
  <si>
    <t>1/2006</t>
  </si>
  <si>
    <t xml:space="preserve">Tổ trưởng tổ Kế toán </t>
  </si>
  <si>
    <t>3,27</t>
  </si>
  <si>
    <t>Bùi Thị Hồng</t>
  </si>
  <si>
    <t>22/10/1981</t>
  </si>
  <si>
    <t>034181002934</t>
  </si>
  <si>
    <t>Thủ quỹ</t>
  </si>
  <si>
    <t>Phạm Thùy Liên</t>
  </si>
  <si>
    <t>7911117504</t>
  </si>
  <si>
    <t>09/10/1987</t>
  </si>
  <si>
    <t>034187018667</t>
  </si>
  <si>
    <t>1/2015</t>
  </si>
  <si>
    <t>Kế toán</t>
  </si>
  <si>
    <t>Phạm Bích Phượng</t>
  </si>
  <si>
    <t>02/06/1992</t>
  </si>
  <si>
    <t>034192002408</t>
  </si>
  <si>
    <t>Nguyễn Xuân Sơn</t>
  </si>
  <si>
    <t>2696021090</t>
  </si>
  <si>
    <t>01/11/1974</t>
  </si>
  <si>
    <t>034074004319</t>
  </si>
  <si>
    <t>5/1995</t>
  </si>
  <si>
    <t>Tổ trưởng tổ Kế hoạch</t>
  </si>
  <si>
    <t>Nguyễn Xuân Hải</t>
  </si>
  <si>
    <t>034072005890</t>
  </si>
  <si>
    <t>8/1992</t>
  </si>
  <si>
    <t>Tổ phó tổ kế hoạch - KT</t>
  </si>
  <si>
    <t>4,51</t>
  </si>
  <si>
    <t>Nguyễn Tiến Dũng</t>
  </si>
  <si>
    <t>18/10/1981</t>
  </si>
  <si>
    <t>034081017269</t>
  </si>
  <si>
    <t>8/2001</t>
  </si>
  <si>
    <t xml:space="preserve">Nhân viên tổ Kế hoạch KT </t>
  </si>
  <si>
    <t>Nguyễn Thị Doanh</t>
  </si>
  <si>
    <t>20/05/1980</t>
  </si>
  <si>
    <t>034180003958</t>
  </si>
  <si>
    <t xml:space="preserve">Nguyễn Quang Trung </t>
  </si>
  <si>
    <t>0201127843</t>
  </si>
  <si>
    <t>034077006960</t>
  </si>
  <si>
    <t>Kỹ sư điện</t>
  </si>
  <si>
    <t>2,31</t>
  </si>
  <si>
    <t>Đỗ Xuân Hoàng</t>
  </si>
  <si>
    <t>01/11/1992</t>
  </si>
  <si>
    <t>034092008354</t>
  </si>
  <si>
    <t>Nguyễn Thế Truyền</t>
  </si>
  <si>
    <t>2696020968</t>
  </si>
  <si>
    <t>01/11/1970</t>
  </si>
  <si>
    <t>034070022066</t>
  </si>
  <si>
    <t>Tổ trưởng tổ sửa chữa</t>
  </si>
  <si>
    <t>4,40</t>
  </si>
  <si>
    <t>Nguyễn Tiến Cường</t>
  </si>
  <si>
    <t>14/06/1974</t>
  </si>
  <si>
    <t>034074003329</t>
  </si>
  <si>
    <t>Phạm Khắc Viện</t>
  </si>
  <si>
    <t>2696021101</t>
  </si>
  <si>
    <t>02/05/1967</t>
  </si>
  <si>
    <t>034067000857</t>
  </si>
  <si>
    <t>3/1986</t>
  </si>
  <si>
    <t>Vũ Minh Hiếu</t>
  </si>
  <si>
    <t>27/07/1975</t>
  </si>
  <si>
    <t>034075006243</t>
  </si>
  <si>
    <t>4/1998</t>
  </si>
  <si>
    <t>Công nhân điện</t>
  </si>
  <si>
    <t>3,74</t>
  </si>
  <si>
    <t>Cụm Tân Mỹ</t>
  </si>
  <si>
    <t>Nguyễn Minh Phong</t>
  </si>
  <si>
    <t>21/10/1966</t>
  </si>
  <si>
    <t>034066001277</t>
  </si>
  <si>
    <t>Trần Văn Bắc</t>
  </si>
  <si>
    <t>20/05/1985</t>
  </si>
  <si>
    <t>034085003416</t>
  </si>
  <si>
    <t>1/2007</t>
  </si>
  <si>
    <t>Nguyễn Thị Tình</t>
  </si>
  <si>
    <t>05/03/1978</t>
  </si>
  <si>
    <t>034178003131</t>
  </si>
  <si>
    <t>10/2003</t>
  </si>
  <si>
    <t>Khương Thị Ngân</t>
  </si>
  <si>
    <t>13/08/1977</t>
  </si>
  <si>
    <t>034177021748</t>
  </si>
  <si>
    <t>12/1996</t>
  </si>
  <si>
    <t>Phạm Đăng Hưng</t>
  </si>
  <si>
    <t>15/10/1970</t>
  </si>
  <si>
    <t>034070000484</t>
  </si>
  <si>
    <t>Ngô Thị Lụa</t>
  </si>
  <si>
    <t>2696020992</t>
  </si>
  <si>
    <t>19/08/1973</t>
  </si>
  <si>
    <t>034173013341</t>
  </si>
  <si>
    <t>11/1992</t>
  </si>
  <si>
    <t>3,56</t>
  </si>
  <si>
    <t>Cụm Đông Yên Lộng</t>
  </si>
  <si>
    <t>Nguyễn Tiến Vụ</t>
  </si>
  <si>
    <t>20/07/1983</t>
  </si>
  <si>
    <t>034083025152</t>
  </si>
  <si>
    <t>3,58</t>
  </si>
  <si>
    <t>Trịnh Thị Ngoan</t>
  </si>
  <si>
    <t>3422243827</t>
  </si>
  <si>
    <t>08/02/1995</t>
  </si>
  <si>
    <t>034195006011</t>
  </si>
  <si>
    <t>12/2019</t>
  </si>
  <si>
    <t>2,65</t>
  </si>
  <si>
    <t>Phạm Thị Như Quỳnh</t>
  </si>
  <si>
    <t>16/08/1984</t>
  </si>
  <si>
    <t>034184008112</t>
  </si>
  <si>
    <t>11/2003</t>
  </si>
  <si>
    <t>Nguyễn Văn Đông</t>
  </si>
  <si>
    <t>21/02/1971</t>
  </si>
  <si>
    <t>034071013222</t>
  </si>
  <si>
    <t>11/1991</t>
  </si>
  <si>
    <t>Nguyễn Trọng Hưng</t>
  </si>
  <si>
    <t>23/08/1971</t>
  </si>
  <si>
    <t>034071009305</t>
  </si>
  <si>
    <t>Cao Văn Nguyện</t>
  </si>
  <si>
    <t>27/05/1978</t>
  </si>
  <si>
    <t>034078001718</t>
  </si>
  <si>
    <t>5/1997</t>
  </si>
  <si>
    <t>Phạm Hoàng Anh</t>
  </si>
  <si>
    <t>02/04/1980</t>
  </si>
  <si>
    <t>034180002619</t>
  </si>
  <si>
    <t>5/2003</t>
  </si>
  <si>
    <t>Vũ Đăng Trung</t>
  </si>
  <si>
    <t>15/02/1980</t>
  </si>
  <si>
    <t>034080001895</t>
  </si>
  <si>
    <t>Trần Ngọc Sơn</t>
  </si>
  <si>
    <t>16/10/1981</t>
  </si>
  <si>
    <t>034081008529</t>
  </si>
  <si>
    <t>8/2002</t>
  </si>
  <si>
    <t xml:space="preserve">Đỗ Văn Hợi </t>
  </si>
  <si>
    <t>3420250611</t>
  </si>
  <si>
    <t>034083007580</t>
  </si>
  <si>
    <t>4/2023</t>
  </si>
  <si>
    <t>Kỹ sư xây dựng</t>
  </si>
  <si>
    <t>2,34</t>
  </si>
  <si>
    <t>Nguyễn Đức Mạnh</t>
  </si>
  <si>
    <t>2696021087</t>
  </si>
  <si>
    <t>28/10/1967</t>
  </si>
  <si>
    <t>034067002823</t>
  </si>
  <si>
    <t>Hoàng Thị Mai</t>
  </si>
  <si>
    <t>2696020971</t>
  </si>
  <si>
    <t>04/09/1974</t>
  </si>
  <si>
    <t>034174005678</t>
  </si>
  <si>
    <t>Phạm Văn Khánh</t>
  </si>
  <si>
    <t>2696021104</t>
  </si>
  <si>
    <t>02/09/1975</t>
  </si>
  <si>
    <t>034075001415</t>
  </si>
  <si>
    <t>5/1996</t>
  </si>
  <si>
    <t>Vũ Thị Đượm</t>
  </si>
  <si>
    <t>2696020975</t>
  </si>
  <si>
    <t>27/06/1973</t>
  </si>
  <si>
    <t>034173004915</t>
  </si>
  <si>
    <t>Trần Dũng Phương</t>
  </si>
  <si>
    <t>18/10/1982</t>
  </si>
  <si>
    <t>034082113883</t>
  </si>
  <si>
    <t>Vũ Thị Anh</t>
  </si>
  <si>
    <t>12/01/1980</t>
  </si>
  <si>
    <t>034180001860</t>
  </si>
  <si>
    <t>11/2001</t>
  </si>
  <si>
    <t>Trịnh Công Ngãi</t>
  </si>
  <si>
    <t>2210020303</t>
  </si>
  <si>
    <t>24/08/1982</t>
  </si>
  <si>
    <t>034082002318</t>
  </si>
  <si>
    <t>4/2011</t>
  </si>
  <si>
    <t>Đinh Công Bình</t>
  </si>
  <si>
    <t>2696021091</t>
  </si>
  <si>
    <t>20/08/1973</t>
  </si>
  <si>
    <t>034073028668</t>
  </si>
  <si>
    <t>Hà Văn Dũng</t>
  </si>
  <si>
    <t>2696039368</t>
  </si>
  <si>
    <t>06/12/1973</t>
  </si>
  <si>
    <t>034073027610</t>
  </si>
  <si>
    <t>1/1995</t>
  </si>
  <si>
    <t>Nguyễn Văn Thưởng</t>
  </si>
  <si>
    <t>29/12/1988</t>
  </si>
  <si>
    <t>034088010647</t>
  </si>
  <si>
    <t>3,01</t>
  </si>
  <si>
    <t>Phạm Tiến Tuân</t>
  </si>
  <si>
    <t>2214020875</t>
  </si>
  <si>
    <t>16/11/1992</t>
  </si>
  <si>
    <t>034092024130</t>
  </si>
  <si>
    <t>2/2022</t>
  </si>
  <si>
    <t>2,16</t>
  </si>
  <si>
    <t>Vũ Thị Thường</t>
  </si>
  <si>
    <t>16/05/1976</t>
  </si>
  <si>
    <t>034176000819</t>
  </si>
  <si>
    <t>4/1999</t>
  </si>
  <si>
    <t>Nguyễn Thị Như Hoa</t>
  </si>
  <si>
    <t>2696020981</t>
  </si>
  <si>
    <t>25/08/1970</t>
  </si>
  <si>
    <t>034170004405</t>
  </si>
  <si>
    <t>7/1992</t>
  </si>
  <si>
    <t>Cụm Cao Nội</t>
  </si>
  <si>
    <t>Vũ Thanh Tuẩn</t>
  </si>
  <si>
    <t>2696021103</t>
  </si>
  <si>
    <t>05/08/1975</t>
  </si>
  <si>
    <t>034075021181</t>
  </si>
  <si>
    <t>1/1996</t>
  </si>
  <si>
    <t>Trần Trung Kiên</t>
  </si>
  <si>
    <t>05/04/1976</t>
  </si>
  <si>
    <t>034076010673</t>
  </si>
  <si>
    <t>1/1999</t>
  </si>
  <si>
    <t>Trần Văn Bằng</t>
  </si>
  <si>
    <t>09/07/1993</t>
  </si>
  <si>
    <t>034093017794</t>
  </si>
  <si>
    <t>2/2015</t>
  </si>
  <si>
    <t>2,96</t>
  </si>
  <si>
    <t>Trịnh Công Thoa</t>
  </si>
  <si>
    <t>25/06/1978</t>
  </si>
  <si>
    <t>034078009077</t>
  </si>
  <si>
    <t>Dương Thị Mai</t>
  </si>
  <si>
    <t>2696020967</t>
  </si>
  <si>
    <t>01/11/1969</t>
  </si>
  <si>
    <t>034169011550</t>
  </si>
  <si>
    <t>Nguyễn Thị Huệ</t>
  </si>
  <si>
    <t>2696021107</t>
  </si>
  <si>
    <t>27/01/1977</t>
  </si>
  <si>
    <t>034177002127</t>
  </si>
  <si>
    <t>7/1996</t>
  </si>
  <si>
    <t>Bùi Ngọc Oanh</t>
  </si>
  <si>
    <t>2603001986</t>
  </si>
  <si>
    <t>20/09/1984</t>
  </si>
  <si>
    <t>034184011616</t>
  </si>
  <si>
    <t>Trần Quang Thuấn</t>
  </si>
  <si>
    <t>13/07/1983</t>
  </si>
  <si>
    <t>034083001341</t>
  </si>
  <si>
    <t>Nguyễn Văn Tập</t>
  </si>
  <si>
    <t>3420278861</t>
  </si>
  <si>
    <t>25/03/1989</t>
  </si>
  <si>
    <t>034089006383</t>
  </si>
  <si>
    <t>12/2020</t>
  </si>
  <si>
    <t>Hoàng Thị Luyên</t>
  </si>
  <si>
    <t>3420368133</t>
  </si>
  <si>
    <t>18/04/1998</t>
  </si>
  <si>
    <t>034198004812</t>
  </si>
  <si>
    <t>Bùi Tất Dương</t>
  </si>
  <si>
    <t>20/07/1968</t>
  </si>
  <si>
    <t>034068005777</t>
  </si>
  <si>
    <t>Nguyễn Thị Thơm</t>
  </si>
  <si>
    <t>12/06/1979</t>
  </si>
  <si>
    <t>034179021695</t>
  </si>
  <si>
    <t xml:space="preserve">Đinh Bá Cường </t>
  </si>
  <si>
    <t>5104005413</t>
  </si>
  <si>
    <t>03/03/1978</t>
  </si>
  <si>
    <t>034078000608</t>
  </si>
  <si>
    <t xml:space="preserve">Lưu Văn Minh </t>
  </si>
  <si>
    <t>3420582699</t>
  </si>
  <si>
    <t>09/09/2003</t>
  </si>
  <si>
    <t>034203009486</t>
  </si>
  <si>
    <t>Hoàng Quốc Thương</t>
  </si>
  <si>
    <t>2696021099</t>
  </si>
  <si>
    <t>04/11/1976</t>
  </si>
  <si>
    <t>034076005036</t>
  </si>
  <si>
    <t>10/1996</t>
  </si>
  <si>
    <t>Trần Thị Thúy Nhiễu</t>
  </si>
  <si>
    <t>01/11/1975</t>
  </si>
  <si>
    <t>034175018358</t>
  </si>
  <si>
    <t>4/2001</t>
  </si>
  <si>
    <t>Nguyễn Thị Thủy</t>
  </si>
  <si>
    <t>10/11/1976</t>
  </si>
  <si>
    <t>034176022815</t>
  </si>
  <si>
    <t xml:space="preserve">Nguyễn Hải Phong </t>
  </si>
  <si>
    <t>3420428051</t>
  </si>
  <si>
    <t>16/01/1990</t>
  </si>
  <si>
    <t>034090005492</t>
  </si>
  <si>
    <t>Nguyễn Đình Trung</t>
  </si>
  <si>
    <t>2607003426</t>
  </si>
  <si>
    <t>06/01/1981</t>
  </si>
  <si>
    <t>034081003944</t>
  </si>
  <si>
    <t>Cụm Tây Yên Lộng</t>
  </si>
  <si>
    <t>Nguyễn Thị Bích Thủy</t>
  </si>
  <si>
    <t>2699040027</t>
  </si>
  <si>
    <t>03/06/1975</t>
  </si>
  <si>
    <t>034175006861</t>
  </si>
  <si>
    <t>5/1998</t>
  </si>
  <si>
    <t>12/12</t>
  </si>
  <si>
    <t>Bùi Thị Luyên</t>
  </si>
  <si>
    <t>06/06/1978</t>
  </si>
  <si>
    <t>034178004934</t>
  </si>
  <si>
    <t>Nguyễn Văn Thắng</t>
  </si>
  <si>
    <t>01/01/1984</t>
  </si>
  <si>
    <t>036084005047</t>
  </si>
  <si>
    <t>Nguyễn Thị Đà</t>
  </si>
  <si>
    <t>30/01/1973</t>
  </si>
  <si>
    <t>034173005010</t>
  </si>
  <si>
    <t>Nguyễn Hữu Toản</t>
  </si>
  <si>
    <t>2696039366</t>
  </si>
  <si>
    <t>02/01/1973</t>
  </si>
  <si>
    <t>034073006852</t>
  </si>
  <si>
    <t>Nguyễn Hồng Thuyên</t>
  </si>
  <si>
    <t>21/01/1974</t>
  </si>
  <si>
    <t>034074007119</t>
  </si>
  <si>
    <t>Cụm Neo</t>
  </si>
  <si>
    <t>Trần Văn Tuyên</t>
  </si>
  <si>
    <t>06/02/1980</t>
  </si>
  <si>
    <t>034080018069</t>
  </si>
  <si>
    <t>8/2000</t>
  </si>
  <si>
    <t>Vũ Văn Đức</t>
  </si>
  <si>
    <t>13/06/1988</t>
  </si>
  <si>
    <t>034088009870</t>
  </si>
  <si>
    <t>2,94</t>
  </si>
  <si>
    <t>Phạm Ngọc Minh</t>
  </si>
  <si>
    <t>3411000516</t>
  </si>
  <si>
    <t>29/10/1986</t>
  </si>
  <si>
    <t>034086008149</t>
  </si>
  <si>
    <t>7/1990</t>
  </si>
  <si>
    <t>Vũ Thị Quyên</t>
  </si>
  <si>
    <t>08/02/1984</t>
  </si>
  <si>
    <t>034184011314</t>
  </si>
  <si>
    <t xml:space="preserve">Lương Thị Thái </t>
  </si>
  <si>
    <t>2696021098</t>
  </si>
  <si>
    <t>02/09/1977</t>
  </si>
  <si>
    <t>034177001618</t>
  </si>
  <si>
    <t>Bùi Thị Nhuần</t>
  </si>
  <si>
    <t>2696020974</t>
  </si>
  <si>
    <t>02/06/1974</t>
  </si>
  <si>
    <t>034174002845</t>
  </si>
  <si>
    <t>Nguyễn Thị Điệu</t>
  </si>
  <si>
    <t>2696020973</t>
  </si>
  <si>
    <t>16/04/1973</t>
  </si>
  <si>
    <t>034173004966</t>
  </si>
  <si>
    <t>Trần Văn Luyện</t>
  </si>
  <si>
    <t>02/07/1974</t>
  </si>
  <si>
    <t>034074000731</t>
  </si>
  <si>
    <t>Trần Thị Lê</t>
  </si>
  <si>
    <t>15/02/1978</t>
  </si>
  <si>
    <t>034178008178</t>
  </si>
  <si>
    <t>Nguyễn Xuân Hoan</t>
  </si>
  <si>
    <t>24/05/1984</t>
  </si>
  <si>
    <t>034084005172</t>
  </si>
  <si>
    <t>Vũ Quốc Tuấn</t>
  </si>
  <si>
    <t>24/11/1976</t>
  </si>
  <si>
    <t>034076010256</t>
  </si>
  <si>
    <t>Nguyễn Trọng Vinh</t>
  </si>
  <si>
    <t>2606008733</t>
  </si>
  <si>
    <t>09/04/1981</t>
  </si>
  <si>
    <t>034081001121</t>
  </si>
  <si>
    <t>01/2005</t>
  </si>
  <si>
    <t>Trần Đức Quảng</t>
  </si>
  <si>
    <t>02/06/1984</t>
  </si>
  <si>
    <t>034084010251</t>
  </si>
  <si>
    <t>9/2006</t>
  </si>
  <si>
    <t>Đỗ Thị Dung</t>
  </si>
  <si>
    <t>19/10/1980</t>
  </si>
  <si>
    <t>034180013821</t>
  </si>
  <si>
    <t>Đỗ Chu</t>
  </si>
  <si>
    <t>3421128552</t>
  </si>
  <si>
    <t>28/05/1983</t>
  </si>
  <si>
    <t>034083008033</t>
  </si>
  <si>
    <t>Nguyễn Tuấn Linh</t>
  </si>
  <si>
    <t>3420239481</t>
  </si>
  <si>
    <t>034200008852</t>
  </si>
  <si>
    <t>2/2025</t>
  </si>
  <si>
    <t>Dương Văn Bốn</t>
  </si>
  <si>
    <t>2696021092</t>
  </si>
  <si>
    <t>20/08/1966</t>
  </si>
  <si>
    <t>034066005355</t>
  </si>
  <si>
    <t>2/1985</t>
  </si>
  <si>
    <t>Cụm Trang Xá</t>
  </si>
  <si>
    <t>Bùi Huy Hùng</t>
  </si>
  <si>
    <t>20/06/1983</t>
  </si>
  <si>
    <t>034083004762</t>
  </si>
  <si>
    <t>4/2002</t>
  </si>
  <si>
    <t>Lê Ngọc Khánh</t>
  </si>
  <si>
    <t>16/05/1984</t>
  </si>
  <si>
    <t>034084006263</t>
  </si>
  <si>
    <t>Phạm Văn Hùng</t>
  </si>
  <si>
    <t>3415027523</t>
  </si>
  <si>
    <t>04/09/1989</t>
  </si>
  <si>
    <t>034089015133</t>
  </si>
  <si>
    <t>Nguyễn Thị Lan</t>
  </si>
  <si>
    <t>30/11/1978</t>
  </si>
  <si>
    <t>034178004873</t>
  </si>
  <si>
    <t>Trần Thị Tuyến</t>
  </si>
  <si>
    <t>13/02/1982</t>
  </si>
  <si>
    <t>034182001271</t>
  </si>
  <si>
    <t>Nguyễn Xuân Hạnh</t>
  </si>
  <si>
    <t>034073002901</t>
  </si>
  <si>
    <t>Nguyễn Thị Thu Anh</t>
  </si>
  <si>
    <t>10/07/1983</t>
  </si>
  <si>
    <t>034183000309</t>
  </si>
  <si>
    <t>Hoàng Duy Giáp</t>
  </si>
  <si>
    <t>2601002451</t>
  </si>
  <si>
    <t>04/01/1974</t>
  </si>
  <si>
    <t>034074006673</t>
  </si>
  <si>
    <t>7/1999</t>
  </si>
  <si>
    <t>Nguyễn Bá Chuẩn</t>
  </si>
  <si>
    <t>20/11/1971</t>
  </si>
  <si>
    <t>034071006290</t>
  </si>
  <si>
    <t>Nguyễn Duy Khương</t>
  </si>
  <si>
    <t>18/05/1975</t>
  </si>
  <si>
    <t>034075015700</t>
  </si>
  <si>
    <t>Nguyễn Văn Thăng</t>
  </si>
  <si>
    <t>10/08/1990</t>
  </si>
  <si>
    <t>034090008088</t>
  </si>
  <si>
    <t>3/2016</t>
  </si>
  <si>
    <t>Cụm Quỳnh Hoa</t>
  </si>
  <si>
    <t>Trịnh Văn Biều</t>
  </si>
  <si>
    <t>2696020985</t>
  </si>
  <si>
    <t>07/02/1971</t>
  </si>
  <si>
    <t>034071006733</t>
  </si>
  <si>
    <t>12/1992</t>
  </si>
  <si>
    <t>Vương Hồng Lĩnh</t>
  </si>
  <si>
    <t>2696020987</t>
  </si>
  <si>
    <t>02/03/1967</t>
  </si>
  <si>
    <t>034069006090</t>
  </si>
  <si>
    <t>6/1987</t>
  </si>
  <si>
    <t>Ngô Văn Nhường</t>
  </si>
  <si>
    <t>2696021100</t>
  </si>
  <si>
    <t>10/10/1974</t>
  </si>
  <si>
    <t>034074004041</t>
  </si>
  <si>
    <t>Nguyễn Mạnh Tường</t>
  </si>
  <si>
    <t>10/10/1971</t>
  </si>
  <si>
    <t>034071006349</t>
  </si>
  <si>
    <t>Đinh Tiến Bình</t>
  </si>
  <si>
    <t>25/03/1975</t>
  </si>
  <si>
    <t>034075003667</t>
  </si>
  <si>
    <t>DANH SÁCH CHUYỂN XẾP LƯƠNG - XÍ NGHIỆP KTCTTL HƯNG HÀ</t>
  </si>
  <si>
    <t xml:space="preserve">Giới tính
</t>
  </si>
  <si>
    <t xml:space="preserve">Trình độ </t>
  </si>
  <si>
    <t>Trần Quốc Tuấn</t>
  </si>
  <si>
    <t>15/10/1973</t>
  </si>
  <si>
    <t>034073023281</t>
  </si>
  <si>
    <t>Phạm Thị Thu Hiền</t>
  </si>
  <si>
    <t>03/10/1980</t>
  </si>
  <si>
    <t>034180002152</t>
  </si>
  <si>
    <t>9/2003</t>
  </si>
  <si>
    <t>Phó giám đốc xí nghiệp</t>
  </si>
  <si>
    <t>Lê Hữu Tứ</t>
  </si>
  <si>
    <t>26/11/1976</t>
  </si>
  <si>
    <t>034076003634</t>
  </si>
  <si>
    <t>Phạm Thị Sen</t>
  </si>
  <si>
    <t>2606006249</t>
  </si>
  <si>
    <t>19/02/1982</t>
  </si>
  <si>
    <t>034182001970</t>
  </si>
  <si>
    <t>11/2005</t>
  </si>
  <si>
    <t>Lê Thị Lương</t>
  </si>
  <si>
    <t>28/08/1978</t>
  </si>
  <si>
    <t>034178004794</t>
  </si>
  <si>
    <t xml:space="preserve">Cấp dưỡng </t>
  </si>
  <si>
    <t>Nguyễn Thị Cúc</t>
  </si>
  <si>
    <t>09/06/1978</t>
  </si>
  <si>
    <t>034178019363</t>
  </si>
  <si>
    <t>Trung cấp văn thư</t>
  </si>
  <si>
    <t>Nguyễn Văn Đàm</t>
  </si>
  <si>
    <t>2600003177</t>
  </si>
  <si>
    <t>30/04/1971</t>
  </si>
  <si>
    <t>034071002126</t>
  </si>
  <si>
    <t>3/1992</t>
  </si>
  <si>
    <t>Lái xe con</t>
  </si>
  <si>
    <t>Nguyễn Xuân Hùng</t>
  </si>
  <si>
    <t>2696022846</t>
  </si>
  <si>
    <t>09/02/1969</t>
  </si>
  <si>
    <t>034069006880</t>
  </si>
  <si>
    <t xml:space="preserve"> Tổ Kế toán </t>
  </si>
  <si>
    <t>Vũ Thị Diễm Hằng</t>
  </si>
  <si>
    <t>29/06/1982</t>
  </si>
  <si>
    <t>034182009034</t>
  </si>
  <si>
    <t>7/2005</t>
  </si>
  <si>
    <t>Phạm Minh Tuấn</t>
  </si>
  <si>
    <t>2696022804</t>
  </si>
  <si>
    <t>04/04/1965</t>
  </si>
  <si>
    <t>034065008453</t>
  </si>
  <si>
    <t>Thủ kho</t>
  </si>
  <si>
    <t>Trung cấp kế toán</t>
  </si>
  <si>
    <t>Lê Thị Thanh Thủy</t>
  </si>
  <si>
    <t>30/11/1970</t>
  </si>
  <si>
    <t>034170015069</t>
  </si>
  <si>
    <t>8/1995</t>
  </si>
  <si>
    <t>Lê Hải Phong</t>
  </si>
  <si>
    <t>10/11/1975</t>
  </si>
  <si>
    <t>034075017421</t>
  </si>
  <si>
    <t>Tổ trưởng tổ kế hoạch kỹ thuật</t>
  </si>
  <si>
    <t>Nguyễn Phương Thao</t>
  </si>
  <si>
    <t>08/03/1985</t>
  </si>
  <si>
    <t>034185000554</t>
  </si>
  <si>
    <t>4/2010</t>
  </si>
  <si>
    <t xml:space="preserve">Nhân viên tổ Kế hoạch </t>
  </si>
  <si>
    <t xml:space="preserve">Nguyễn Thị Nhung </t>
  </si>
  <si>
    <t xml:space="preserve"> 8016090693</t>
  </si>
  <si>
    <t>034194003108</t>
  </si>
  <si>
    <t>3/2024</t>
  </si>
  <si>
    <t>Phạm Thành Chung</t>
  </si>
  <si>
    <t>3415002026</t>
  </si>
  <si>
    <t>14/12/1991</t>
  </si>
  <si>
    <t>034091004716</t>
  </si>
  <si>
    <t xml:space="preserve"> Tổ cơ khí, cơ điện </t>
  </si>
  <si>
    <t>Phan Văn Ngôn</t>
  </si>
  <si>
    <t>03/02/1967</t>
  </si>
  <si>
    <t>034067002843</t>
  </si>
  <si>
    <t>4/1988</t>
  </si>
  <si>
    <t>Công nhân cơ khí, cơ điện</t>
  </si>
  <si>
    <t>Phạm Văn Thoát</t>
  </si>
  <si>
    <t>10/12/1981</t>
  </si>
  <si>
    <t>034081007898</t>
  </si>
  <si>
    <t>9/2002</t>
  </si>
  <si>
    <t xml:space="preserve">Nguyễn Khắc Đạt </t>
  </si>
  <si>
    <t>0116337042</t>
  </si>
  <si>
    <t>034094002173</t>
  </si>
  <si>
    <t>2/2023</t>
  </si>
  <si>
    <t>Bùi Hồng Vương</t>
  </si>
  <si>
    <t>19/11/1968</t>
  </si>
  <si>
    <t>034068007014</t>
  </si>
  <si>
    <t>3/1987</t>
  </si>
  <si>
    <t xml:space="preserve"> Cụm Hậu Thượng </t>
  </si>
  <si>
    <t>Trần Văn Sỹ</t>
  </si>
  <si>
    <t>04/11/1972</t>
  </si>
  <si>
    <t>034072017700</t>
  </si>
  <si>
    <t>Trần Thanh Ngọc</t>
  </si>
  <si>
    <t>28/08/1972</t>
  </si>
  <si>
    <t>034072019445</t>
  </si>
  <si>
    <t>Trần Trung Trìu</t>
  </si>
  <si>
    <t>02/06/1978</t>
  </si>
  <si>
    <t>034078006998</t>
  </si>
  <si>
    <t>Bùi Đăng Chính</t>
  </si>
  <si>
    <t>07/07/1974</t>
  </si>
  <si>
    <t>034074024465</t>
  </si>
  <si>
    <t>Phạm Thị Nhinh</t>
  </si>
  <si>
    <t>12/12/1970</t>
  </si>
  <si>
    <t>034170003478</t>
  </si>
  <si>
    <t>Khổng Thị Việt Hà</t>
  </si>
  <si>
    <t>2696022812</t>
  </si>
  <si>
    <t>10/02/1974</t>
  </si>
  <si>
    <t>034174004552</t>
  </si>
  <si>
    <t>Nguyễn Thị Hồng Thắm</t>
  </si>
  <si>
    <t>10/08/1975</t>
  </si>
  <si>
    <t>034175008983</t>
  </si>
  <si>
    <t>Hoàng Thị Thu Kiên</t>
  </si>
  <si>
    <t>05/06/1978</t>
  </si>
  <si>
    <t>034178001279</t>
  </si>
  <si>
    <t>Nguyễn Quang Hòa</t>
  </si>
  <si>
    <t>31/03/1978</t>
  </si>
  <si>
    <t>034078000722</t>
  </si>
  <si>
    <t>10/1999</t>
  </si>
  <si>
    <t>Trần Tư Nghiệp</t>
  </si>
  <si>
    <t>12/12/1977</t>
  </si>
  <si>
    <t>034077000695</t>
  </si>
  <si>
    <t>Lương Thị Miền</t>
  </si>
  <si>
    <t>25/10/1971</t>
  </si>
  <si>
    <t>034171001863</t>
  </si>
  <si>
    <t>2604003967</t>
  </si>
  <si>
    <t>08/09/1975</t>
  </si>
  <si>
    <t>034172011676</t>
  </si>
  <si>
    <t>Nguyễn Thị Hằng</t>
  </si>
  <si>
    <t>17/05/1977</t>
  </si>
  <si>
    <t>034177018275</t>
  </si>
  <si>
    <t>Vũ Thành Long</t>
  </si>
  <si>
    <t>15/08/1967</t>
  </si>
  <si>
    <t>034067007130</t>
  </si>
  <si>
    <t>Đinh Thị Ngân</t>
  </si>
  <si>
    <t>14/08/1989</t>
  </si>
  <si>
    <t>034189010948</t>
  </si>
  <si>
    <t>3/2012</t>
  </si>
  <si>
    <t>Bùi Đăng Trọng</t>
  </si>
  <si>
    <t>15/06/1971</t>
  </si>
  <si>
    <t>034071000441</t>
  </si>
  <si>
    <t>Đào Ngọc Hoàng</t>
  </si>
  <si>
    <t>0116212215</t>
  </si>
  <si>
    <t>16/07/1993</t>
  </si>
  <si>
    <t>034093002960</t>
  </si>
  <si>
    <t>7/2021</t>
  </si>
  <si>
    <t>Bùi Lương Thiện</t>
  </si>
  <si>
    <t>01/01/1974</t>
  </si>
  <si>
    <t>034074001712</t>
  </si>
  <si>
    <t>Phạm Quốc Thật</t>
  </si>
  <si>
    <t>01/04/1968</t>
  </si>
  <si>
    <t>034071010590</t>
  </si>
  <si>
    <t>11/1990</t>
  </si>
  <si>
    <t xml:space="preserve"> Cụm Thống Nhất 1 </t>
  </si>
  <si>
    <t>Phạm Văn Chinh</t>
  </si>
  <si>
    <t>2697039752</t>
  </si>
  <si>
    <t>16/06/1969</t>
  </si>
  <si>
    <t>034069003911</t>
  </si>
  <si>
    <t>8/1986</t>
  </si>
  <si>
    <t>Phạm Tiến Công</t>
  </si>
  <si>
    <t>14/09/1976</t>
  </si>
  <si>
    <t>034076003255</t>
  </si>
  <si>
    <t>Nguyễn Đức Toàn</t>
  </si>
  <si>
    <t>2602000931</t>
  </si>
  <si>
    <t>26/08/1975</t>
  </si>
  <si>
    <t>034075004655</t>
  </si>
  <si>
    <t>Lương Thị Thanh Ngân</t>
  </si>
  <si>
    <t>16/08/1981</t>
  </si>
  <si>
    <t>034181007143</t>
  </si>
  <si>
    <t>Phạm Thị Hương</t>
  </si>
  <si>
    <t>06/11/1981</t>
  </si>
  <si>
    <t>034181008751</t>
  </si>
  <si>
    <t>Nguyễn Xuân Thược</t>
  </si>
  <si>
    <t>09/10/1973</t>
  </si>
  <si>
    <t>034073003856</t>
  </si>
  <si>
    <t>01/06/1984</t>
  </si>
  <si>
    <t>034184006508</t>
  </si>
  <si>
    <t>6/2004</t>
  </si>
  <si>
    <t>Đỗ Minh Chiến</t>
  </si>
  <si>
    <t>06/02/1984</t>
  </si>
  <si>
    <t>034084006105</t>
  </si>
  <si>
    <t>Trần Tuấn Anh</t>
  </si>
  <si>
    <t>3420745032</t>
  </si>
  <si>
    <t>09/05/1996</t>
  </si>
  <si>
    <t>034096013597</t>
  </si>
  <si>
    <t>Nguyễn Thị Hương</t>
  </si>
  <si>
    <t>034180003280</t>
  </si>
  <si>
    <t xml:space="preserve"> Cụm Quán Rô  </t>
  </si>
  <si>
    <t>Bùi Thị Thủy</t>
  </si>
  <si>
    <t>01/10/1973</t>
  </si>
  <si>
    <t>034173014075</t>
  </si>
  <si>
    <t>8/1989</t>
  </si>
  <si>
    <t>Nguyễn Thị Lê</t>
  </si>
  <si>
    <t>29/09/1970</t>
  </si>
  <si>
    <t>034170012485</t>
  </si>
  <si>
    <t>10/1992</t>
  </si>
  <si>
    <t>Nguyễn Tiến Vang</t>
  </si>
  <si>
    <t>2696021974</t>
  </si>
  <si>
    <t>01/06/1973</t>
  </si>
  <si>
    <t>034073000601</t>
  </si>
  <si>
    <t>Phạm Thị Thu Phương</t>
  </si>
  <si>
    <t>2696022796</t>
  </si>
  <si>
    <t>21/09/1976</t>
  </si>
  <si>
    <t>034176004754</t>
  </si>
  <si>
    <t>Vũ Việt Phương</t>
  </si>
  <si>
    <t>03/09/1971</t>
  </si>
  <si>
    <t>034071022046</t>
  </si>
  <si>
    <t>Nguyễn Quang Tiệp</t>
  </si>
  <si>
    <t>24/05/1977</t>
  </si>
  <si>
    <t>034077008162</t>
  </si>
  <si>
    <t>Nguyễn Cao Hữu</t>
  </si>
  <si>
    <t>27/11/1983</t>
  </si>
  <si>
    <t>034083009649</t>
  </si>
  <si>
    <t xml:space="preserve"> Cụm 217  </t>
  </si>
  <si>
    <t>Trần Thanh Hà</t>
  </si>
  <si>
    <t>18/10/1984</t>
  </si>
  <si>
    <t>034084017047</t>
  </si>
  <si>
    <t>4/2005</t>
  </si>
  <si>
    <t>Nguyễn Thị Thoa</t>
  </si>
  <si>
    <t>01/02/1971</t>
  </si>
  <si>
    <t>034171003642</t>
  </si>
  <si>
    <t>9/1992</t>
  </si>
  <si>
    <t>Trần Quốc Hoàn</t>
  </si>
  <si>
    <t>17/03/1971</t>
  </si>
  <si>
    <t>034071021946</t>
  </si>
  <si>
    <t>Đỗ Minh Thủy</t>
  </si>
  <si>
    <t>2696022871</t>
  </si>
  <si>
    <t>09/04/1975</t>
  </si>
  <si>
    <t>034075016487</t>
  </si>
  <si>
    <t>Nguyễn Thị Nguyệt</t>
  </si>
  <si>
    <t>28/10/1974</t>
  </si>
  <si>
    <t>034174008032</t>
  </si>
  <si>
    <t>Đồng Trung Kiên</t>
  </si>
  <si>
    <t>27/05/1975</t>
  </si>
  <si>
    <t>034075000691</t>
  </si>
  <si>
    <t>Hoàng Thị Phương</t>
  </si>
  <si>
    <t>26/06/1985</t>
  </si>
  <si>
    <t>034185022666</t>
  </si>
  <si>
    <t>Đặng Quang Sơn</t>
  </si>
  <si>
    <t>08/04/1982</t>
  </si>
  <si>
    <t>034082013459</t>
  </si>
  <si>
    <t>Lương Thị Hà</t>
  </si>
  <si>
    <t>2603001327</t>
  </si>
  <si>
    <t>22/12/1980</t>
  </si>
  <si>
    <t>034180000912</t>
  </si>
  <si>
    <t>3/2002</t>
  </si>
  <si>
    <t xml:space="preserve"> Cụm Thống Nhất 2  </t>
  </si>
  <si>
    <t>Đào Thị Thanh Huệ</t>
  </si>
  <si>
    <t>3413006338</t>
  </si>
  <si>
    <t>29/06/1990</t>
  </si>
  <si>
    <t>034190002417</t>
  </si>
  <si>
    <t>20/02/1974</t>
  </si>
  <si>
    <t>034074018707</t>
  </si>
  <si>
    <t>Lê Văn Xuyên</t>
  </si>
  <si>
    <t>30/06/1973</t>
  </si>
  <si>
    <t>034073021951</t>
  </si>
  <si>
    <t>Phạm Thị Phương</t>
  </si>
  <si>
    <t>2696021967</t>
  </si>
  <si>
    <t>02/03/1975</t>
  </si>
  <si>
    <t>034175017627</t>
  </si>
  <si>
    <t>11/1993</t>
  </si>
  <si>
    <t>Cao Thị Thu Hoài</t>
  </si>
  <si>
    <t>2603001329</t>
  </si>
  <si>
    <t>02/06/1981</t>
  </si>
  <si>
    <t>034181009905</t>
  </si>
  <si>
    <t>Nguyễn Thị Hồng Nhung</t>
  </si>
  <si>
    <t>3422298126</t>
  </si>
  <si>
    <t>034196014819</t>
  </si>
  <si>
    <t>7/2024</t>
  </si>
  <si>
    <t>Trần Tiến Thêm</t>
  </si>
  <si>
    <t>14/03/1985</t>
  </si>
  <si>
    <t>034085019292</t>
  </si>
  <si>
    <t xml:space="preserve"> Cụm Quan Hoả  </t>
  </si>
  <si>
    <t>Vũ Đức Hào</t>
  </si>
  <si>
    <t>22/08/1974</t>
  </si>
  <si>
    <t>034074003879</t>
  </si>
  <si>
    <t>Vũ Thị Huyền</t>
  </si>
  <si>
    <t>06/12/1986</t>
  </si>
  <si>
    <t>034186011843</t>
  </si>
  <si>
    <t>Hoàng Thị Thúy</t>
  </si>
  <si>
    <t>24/04/1982</t>
  </si>
  <si>
    <t>034182001017</t>
  </si>
  <si>
    <t>Bùi Tiến Thuật</t>
  </si>
  <si>
    <t>17/10/1976</t>
  </si>
  <si>
    <t>034076013550</t>
  </si>
  <si>
    <t>Lê Thị Hiền</t>
  </si>
  <si>
    <t>02/03/1977</t>
  </si>
  <si>
    <t>034177009218</t>
  </si>
  <si>
    <t>Bùi Hoài Thu</t>
  </si>
  <si>
    <t>02/08/1974</t>
  </si>
  <si>
    <t>034174009474</t>
  </si>
  <si>
    <t>Nguyễn Cao Cường</t>
  </si>
  <si>
    <t>08/01/1984</t>
  </si>
  <si>
    <t>034084010020</t>
  </si>
  <si>
    <t>Phạm Ngọc Hải</t>
  </si>
  <si>
    <t>30/12/1973</t>
  </si>
  <si>
    <t>034073005940</t>
  </si>
  <si>
    <t>Phạm Văn Tâm</t>
  </si>
  <si>
    <t>2606001569</t>
  </si>
  <si>
    <t>05/05/1966</t>
  </si>
  <si>
    <t>034066020673</t>
  </si>
  <si>
    <t>Nguyễn Đức Huân</t>
  </si>
  <si>
    <t>02/04/1971</t>
  </si>
  <si>
    <t>034071020766</t>
  </si>
  <si>
    <t>Mai Đức Huấn</t>
  </si>
  <si>
    <t>31/01/1971</t>
  </si>
  <si>
    <t>034071008734</t>
  </si>
  <si>
    <t>6/2002</t>
  </si>
  <si>
    <t>Nguyễn Hữu Mạnh</t>
  </si>
  <si>
    <t>06/02/1968</t>
  </si>
  <si>
    <t>034068007221</t>
  </si>
  <si>
    <t>Nguyễn Đức Hùng</t>
  </si>
  <si>
    <t>0101039534</t>
  </si>
  <si>
    <t>24/01/1971</t>
  </si>
  <si>
    <t>034071002065</t>
  </si>
  <si>
    <t>Nguyễn Hữu Thành</t>
  </si>
  <si>
    <t>19/01/1977</t>
  </si>
  <si>
    <t>034077001248</t>
  </si>
  <si>
    <t>Trần Thị Thương Thao</t>
  </si>
  <si>
    <t>3412001044</t>
  </si>
  <si>
    <t>19/07/1993</t>
  </si>
  <si>
    <t>034193018496</t>
  </si>
  <si>
    <t xml:space="preserve"> Cụm Sông Hoài  </t>
  </si>
  <si>
    <t>Nguyễn Thị Chức</t>
  </si>
  <si>
    <t>23/10/1982</t>
  </si>
  <si>
    <t>035182009844</t>
  </si>
  <si>
    <t>Nguyễn Thị Thúy</t>
  </si>
  <si>
    <t>02/10/1971</t>
  </si>
  <si>
    <t>034171012652</t>
  </si>
  <si>
    <t>5/1993</t>
  </si>
  <si>
    <t>Nguyễn Đức Tuyên</t>
  </si>
  <si>
    <t>034073022426</t>
  </si>
  <si>
    <t>Đoàn Thị Phượng</t>
  </si>
  <si>
    <t>08/07/1976</t>
  </si>
  <si>
    <t>034176004349</t>
  </si>
  <si>
    <t>Đào Hồng Nhung</t>
  </si>
  <si>
    <t>2602000919</t>
  </si>
  <si>
    <t>06/02/1973</t>
  </si>
  <si>
    <t>034173014327</t>
  </si>
  <si>
    <t>Trần Thị Tuyết</t>
  </si>
  <si>
    <t>034177003641</t>
  </si>
  <si>
    <t>Nguyễn Văn Cường</t>
  </si>
  <si>
    <t>06/10/1980</t>
  </si>
  <si>
    <t>034080022672</t>
  </si>
  <si>
    <t>Phạm Thị Nhung</t>
  </si>
  <si>
    <t>13/07/1973</t>
  </si>
  <si>
    <t>034173008769</t>
  </si>
  <si>
    <t>Đỗ Thị Thanh Hải</t>
  </si>
  <si>
    <t>06/10/1982</t>
  </si>
  <si>
    <t>034182007598</t>
  </si>
  <si>
    <t>7/2004</t>
  </si>
  <si>
    <t>Lê Quyết Thắng</t>
  </si>
  <si>
    <t>10/10/1981</t>
  </si>
  <si>
    <t>015081000151</t>
  </si>
  <si>
    <t>7/2012</t>
  </si>
  <si>
    <t>Trần Thị Hồng</t>
  </si>
  <si>
    <t>18/10/1980</t>
  </si>
  <si>
    <t>034180002271</t>
  </si>
  <si>
    <t>Dương Thị Thu Hà</t>
  </si>
  <si>
    <t>3416082416</t>
  </si>
  <si>
    <t>034194002473</t>
  </si>
  <si>
    <t>Nguyễn Thanh Hải</t>
  </si>
  <si>
    <t>0100041671</t>
  </si>
  <si>
    <t>27/12/1977</t>
  </si>
  <si>
    <t>034077016726</t>
  </si>
  <si>
    <t>7/1997</t>
  </si>
  <si>
    <t>Tổ TC - HC</t>
  </si>
  <si>
    <t>Nguyễn Văn Hà</t>
  </si>
  <si>
    <t>034073028611</t>
  </si>
  <si>
    <t>9/1994</t>
  </si>
  <si>
    <t xml:space="preserve">Kỹ sư thủy lợi </t>
  </si>
  <si>
    <t>Vũ Đăng Cường</t>
  </si>
  <si>
    <t>2696020970</t>
  </si>
  <si>
    <t>034073001449</t>
  </si>
  <si>
    <t>10/2006</t>
  </si>
  <si>
    <t>Phó Giám đốc Xí nghiệp</t>
  </si>
  <si>
    <t>Bùi Thị Lan Anh</t>
  </si>
  <si>
    <t>0107048817</t>
  </si>
  <si>
    <t>20/11/1982</t>
  </si>
  <si>
    <t>034182001407</t>
  </si>
  <si>
    <t>8/1991</t>
  </si>
  <si>
    <t>Trần Thành Tựu</t>
  </si>
  <si>
    <t>034067001431</t>
  </si>
  <si>
    <t>Tổ trưởng tổ hành chính</t>
  </si>
  <si>
    <t>034179000415</t>
  </si>
  <si>
    <t>Cấp dướng</t>
  </si>
  <si>
    <t>Nguyễn Thị Hồng Mai</t>
  </si>
  <si>
    <t>034178013603</t>
  </si>
  <si>
    <t>10/2002</t>
  </si>
  <si>
    <t xml:space="preserve">Văn thư </t>
  </si>
  <si>
    <t xml:space="preserve">Trung cấp kế toán </t>
  </si>
  <si>
    <t>Vũ Tú Anh</t>
  </si>
  <si>
    <t>0340 7600 8743</t>
  </si>
  <si>
    <t>1/2003</t>
  </si>
  <si>
    <t>Phùng Thị Lan</t>
  </si>
  <si>
    <t>034175003466</t>
  </si>
  <si>
    <t>Nguyễn Thị Thời</t>
  </si>
  <si>
    <t>2607002118</t>
  </si>
  <si>
    <t>034185001282</t>
  </si>
  <si>
    <t>Nguyễn Minh Châu</t>
  </si>
  <si>
    <t>034192002754</t>
  </si>
  <si>
    <t>Lê Tiến Tài</t>
  </si>
  <si>
    <t>034084003207</t>
  </si>
  <si>
    <t>Nguyễn Trung Du</t>
  </si>
  <si>
    <t>034092023954</t>
  </si>
  <si>
    <t xml:space="preserve">Nhân viên tổ KHKT </t>
  </si>
  <si>
    <t>Trần Thị Trang</t>
  </si>
  <si>
    <t>3416004303</t>
  </si>
  <si>
    <t>034190020174</t>
  </si>
  <si>
    <t>10/2016</t>
  </si>
  <si>
    <t>Nguyễn Quang Duy</t>
  </si>
  <si>
    <t>034091002710</t>
  </si>
  <si>
    <t>11/2015</t>
  </si>
  <si>
    <t>4/12</t>
  </si>
  <si>
    <t>Lê Gia Cương</t>
  </si>
  <si>
    <t>2696025611</t>
  </si>
  <si>
    <t>034066001250</t>
  </si>
  <si>
    <t>1/1986</t>
  </si>
  <si>
    <t xml:space="preserve">Công nhân sửa chữa cơ khí cơ điện </t>
  </si>
  <si>
    <t xml:space="preserve">Nguyễn Công Thành </t>
  </si>
  <si>
    <t>034083008082</t>
  </si>
  <si>
    <t>10/2022</t>
  </si>
  <si>
    <t>Trần Thanh Bình</t>
  </si>
  <si>
    <t>034077006769</t>
  </si>
  <si>
    <t>Bùi Thọ Hưng</t>
  </si>
  <si>
    <t>2604004611</t>
  </si>
  <si>
    <t xml:space="preserve"> 034082003321</t>
  </si>
  <si>
    <t>Cụm Việt Yên</t>
  </si>
  <si>
    <t>Nguyễn Văn Thư</t>
  </si>
  <si>
    <t>02/10/1984</t>
  </si>
  <si>
    <t>034084001027</t>
  </si>
  <si>
    <t>Trần Đức Hạnh</t>
  </si>
  <si>
    <t>034073025941</t>
  </si>
  <si>
    <t>4/1994</t>
  </si>
  <si>
    <t>034070024832</t>
  </si>
  <si>
    <t>Nguyễn Thế Ngọc</t>
  </si>
  <si>
    <t>2607002121</t>
  </si>
  <si>
    <t>034086019543</t>
  </si>
  <si>
    <t>Lưu Văn Dũng</t>
  </si>
  <si>
    <t>3408011254</t>
  </si>
  <si>
    <t>034079007594</t>
  </si>
  <si>
    <t>Nguyễn Thành Trung</t>
  </si>
  <si>
    <t>034075000718</t>
  </si>
  <si>
    <t>10/1997</t>
  </si>
  <si>
    <t>Đào Xuân Cảnh</t>
  </si>
  <si>
    <t>034081017381</t>
  </si>
  <si>
    <t xml:space="preserve">Trung cấp thủy lợi </t>
  </si>
  <si>
    <t>Nguyễn Thị Nguyệt Hà</t>
  </si>
  <si>
    <t>2696039381</t>
  </si>
  <si>
    <t>28/10/1971</t>
  </si>
  <si>
    <t>027171004424</t>
  </si>
  <si>
    <t>034172003963</t>
  </si>
  <si>
    <t>2/1992</t>
  </si>
  <si>
    <t>Cụm Trạm Chay</t>
  </si>
  <si>
    <t>Nguyễn Thị Kim Liên</t>
  </si>
  <si>
    <t>035181001236</t>
  </si>
  <si>
    <t>6/2003</t>
  </si>
  <si>
    <t>Nguyễn Thị Luyến</t>
  </si>
  <si>
    <t>034175000667</t>
  </si>
  <si>
    <t>Hoàng Thị Tuyết</t>
  </si>
  <si>
    <t>034177009770</t>
  </si>
  <si>
    <t>Nguyễn Thị Mai</t>
  </si>
  <si>
    <t>034176000800</t>
  </si>
  <si>
    <t>034176023258</t>
  </si>
  <si>
    <t>6/1994</t>
  </si>
  <si>
    <t>034185011632</t>
  </si>
  <si>
    <t>4/2016</t>
  </si>
  <si>
    <t>Nguyễn Tùng Lâm</t>
  </si>
  <si>
    <t>23/03/1995</t>
  </si>
  <si>
    <t>034095001132</t>
  </si>
  <si>
    <t>Nguyễn Công Sáng</t>
  </si>
  <si>
    <t>13/11/1980</t>
  </si>
  <si>
    <t xml:space="preserve"> 034080004506</t>
  </si>
  <si>
    <t>Cụm Tịnh Xuyên</t>
  </si>
  <si>
    <t>Nguyễn Xuân Đông</t>
  </si>
  <si>
    <t>034083013815</t>
  </si>
  <si>
    <t>10/2004</t>
  </si>
  <si>
    <t>Đỗ Xuân Mạnh</t>
  </si>
  <si>
    <t>2607001839</t>
  </si>
  <si>
    <t>034080003493</t>
  </si>
  <si>
    <t xml:space="preserve">Cụm phó </t>
  </si>
  <si>
    <t xml:space="preserve">Kỹ sư điện </t>
  </si>
  <si>
    <t>Tạ Thị Minh Ngọc</t>
  </si>
  <si>
    <t>034184007453</t>
  </si>
  <si>
    <t>Nguyễn Thị Hồng</t>
  </si>
  <si>
    <t>034169016154</t>
  </si>
  <si>
    <t>8/1988</t>
  </si>
  <si>
    <t>Nguyễn Thị Diệp</t>
  </si>
  <si>
    <t>034171008772</t>
  </si>
  <si>
    <t>Lê Văn Nho</t>
  </si>
  <si>
    <t>034074009688</t>
  </si>
  <si>
    <t>11/1997</t>
  </si>
  <si>
    <t>Nguyễn Văn Chiện</t>
  </si>
  <si>
    <t>034069011580</t>
  </si>
  <si>
    <t>Nguyễn Thanh Trùy</t>
  </si>
  <si>
    <t xml:space="preserve"> 034078002942</t>
  </si>
  <si>
    <t>20/10/1976</t>
  </si>
  <si>
    <t>034076024207</t>
  </si>
  <si>
    <t>Nguyễn Thị Linh</t>
  </si>
  <si>
    <t>2696025600</t>
  </si>
  <si>
    <t>034171004682</t>
  </si>
  <si>
    <t>1/2000</t>
  </si>
  <si>
    <t>Trần Thị Phương</t>
  </si>
  <si>
    <t>034173019168</t>
  </si>
  <si>
    <t>Nguyễn Bá Diện</t>
  </si>
  <si>
    <t>28/12/1971</t>
  </si>
  <si>
    <t xml:space="preserve"> 034071004151</t>
  </si>
  <si>
    <t>Phạm Thị Cúc</t>
  </si>
  <si>
    <t>034173020937</t>
  </si>
  <si>
    <t>8/1993</t>
  </si>
  <si>
    <t>Trần Xuân Tuyến</t>
  </si>
  <si>
    <t>034083012108</t>
  </si>
  <si>
    <t>Cao Thị Hà</t>
  </si>
  <si>
    <t>034184004984</t>
  </si>
  <si>
    <t>Nguyễn Thị Phương</t>
  </si>
  <si>
    <t>3416019606</t>
  </si>
  <si>
    <t>21/09/1994</t>
  </si>
  <si>
    <t>034194005305</t>
  </si>
  <si>
    <t>1/7/2020</t>
  </si>
  <si>
    <t>Vũ Thanh Toàn</t>
  </si>
  <si>
    <t>0113008839</t>
  </si>
  <si>
    <t>034090017977</t>
  </si>
  <si>
    <t>Đỗ Mạnh Hùng</t>
  </si>
  <si>
    <t>14/11/1978</t>
  </si>
  <si>
    <t>034078030219</t>
  </si>
  <si>
    <t>Phạm Duy Thú</t>
  </si>
  <si>
    <t>034074024542</t>
  </si>
  <si>
    <t>Cụm Đào Thành</t>
  </si>
  <si>
    <t>Nguyễn Khắc Trọng</t>
  </si>
  <si>
    <t xml:space="preserve">034066000161 </t>
  </si>
  <si>
    <t>Đào Thị Vân Hoa</t>
  </si>
  <si>
    <t>034184001761</t>
  </si>
  <si>
    <t>Cán bộ kỹ thuật cụm</t>
  </si>
  <si>
    <t>Hoàng Văn Tâm</t>
  </si>
  <si>
    <t>034073025686</t>
  </si>
  <si>
    <t>Tô Thị Tuyến</t>
  </si>
  <si>
    <t>034176022637</t>
  </si>
  <si>
    <t>Trần Thị Gấm</t>
  </si>
  <si>
    <t xml:space="preserve">034172003145 </t>
  </si>
  <si>
    <t>Đỗ Thị Ánh</t>
  </si>
  <si>
    <t>20/10/1981</t>
  </si>
  <si>
    <t>034181019397</t>
  </si>
  <si>
    <t>Vũ Thị Nhài</t>
  </si>
  <si>
    <t>2696025644</t>
  </si>
  <si>
    <t>034170006218</t>
  </si>
  <si>
    <t>Hà Thị Diệu Thúy</t>
  </si>
  <si>
    <t>034176007873</t>
  </si>
  <si>
    <t>Đoàn Thị Hằng</t>
  </si>
  <si>
    <t>034183023359</t>
  </si>
  <si>
    <t>Dương Thị Hoa</t>
  </si>
  <si>
    <t>034182012036</t>
  </si>
  <si>
    <t>Trần Thị Hoa</t>
  </si>
  <si>
    <t>034175005541</t>
  </si>
  <si>
    <t>Trần Văn Anh</t>
  </si>
  <si>
    <t>3414009098</t>
  </si>
  <si>
    <t>034090013578</t>
  </si>
  <si>
    <t>12/2014</t>
  </si>
  <si>
    <t>6/12</t>
  </si>
  <si>
    <t>Nguyễn Văn Bộ</t>
  </si>
  <si>
    <t>034074008574</t>
  </si>
  <si>
    <t>10/1991</t>
  </si>
  <si>
    <t>Trần Ngọc Minh</t>
  </si>
  <si>
    <t>3420553483</t>
  </si>
  <si>
    <t>28/11/1997</t>
  </si>
  <si>
    <t>034097000444</t>
  </si>
  <si>
    <t>1/2021</t>
  </si>
  <si>
    <t>Nguyễn Văn Trà</t>
  </si>
  <si>
    <t>034074004216</t>
  </si>
  <si>
    <t>1/1998</t>
  </si>
  <si>
    <t>Ngô Nguyên Thương</t>
  </si>
  <si>
    <t>034076005202</t>
  </si>
  <si>
    <t>Cụm Lão Khê</t>
  </si>
  <si>
    <t>Trần Thị Thúy Loan</t>
  </si>
  <si>
    <t>034169007201</t>
  </si>
  <si>
    <t>2/1990</t>
  </si>
  <si>
    <t>Hoàng Thị Thu Hà</t>
  </si>
  <si>
    <t>0126383821</t>
  </si>
  <si>
    <t>034196008608</t>
  </si>
  <si>
    <t>Nguyễn Đức Hường</t>
  </si>
  <si>
    <t>034072002776</t>
  </si>
  <si>
    <t>Trần Thị Ánh</t>
  </si>
  <si>
    <t>034170003450</t>
  </si>
  <si>
    <t>1/1991</t>
  </si>
  <si>
    <t>Trần Ích Hùng</t>
  </si>
  <si>
    <t>2696025633</t>
  </si>
  <si>
    <t>034065001848</t>
  </si>
  <si>
    <t>3/1983</t>
  </si>
  <si>
    <t>034184020081</t>
  </si>
  <si>
    <t>Lê Thị Phương Tranh</t>
  </si>
  <si>
    <t>2696025664</t>
  </si>
  <si>
    <t>Vũ Thị Tâm</t>
  </si>
  <si>
    <t>19/10/1971</t>
  </si>
  <si>
    <t>037171011403</t>
  </si>
  <si>
    <t>Đặng Thị Bích Thảo</t>
  </si>
  <si>
    <t>034183007792</t>
  </si>
  <si>
    <t>Nguyễn Thị Nhàn</t>
  </si>
  <si>
    <t>034186000720</t>
  </si>
  <si>
    <t>6/2015</t>
  </si>
  <si>
    <t>Trần Hữu Chung</t>
  </si>
  <si>
    <t>034080006115</t>
  </si>
  <si>
    <t>3/2001</t>
  </si>
  <si>
    <t>Trần Nam Trung</t>
  </si>
  <si>
    <t>13/10/1972</t>
  </si>
  <si>
    <t xml:space="preserve"> 034072006691</t>
  </si>
  <si>
    <t>Trần Thị Hoài</t>
  </si>
  <si>
    <t>3416025477</t>
  </si>
  <si>
    <t>034194000494</t>
  </si>
  <si>
    <t>4/2020</t>
  </si>
  <si>
    <t>Cụm Minh Tân</t>
  </si>
  <si>
    <t>Hà Công Khoa</t>
  </si>
  <si>
    <t xml:space="preserve"> 034082000602</t>
  </si>
  <si>
    <t>3422064639</t>
  </si>
  <si>
    <t>034194000301</t>
  </si>
  <si>
    <t>Nguyễn Ngọc Hưng</t>
  </si>
  <si>
    <t>034086010358</t>
  </si>
  <si>
    <t>10/2005</t>
  </si>
  <si>
    <t>Trần Anh Dũng</t>
  </si>
  <si>
    <t>28/11/1971</t>
  </si>
  <si>
    <t>034071015126</t>
  </si>
  <si>
    <t>Nguyễn Văn Tuyên</t>
  </si>
  <si>
    <t>034072019023</t>
  </si>
  <si>
    <t>Đặng Thị Hà</t>
  </si>
  <si>
    <t>034178003500</t>
  </si>
  <si>
    <t>Lê Văn Chính</t>
  </si>
  <si>
    <t>3422089577</t>
  </si>
  <si>
    <t>034091004846</t>
  </si>
  <si>
    <t>1/1/2019</t>
  </si>
  <si>
    <t>Hoàng Thị Giang</t>
  </si>
  <si>
    <t>034170008668</t>
  </si>
  <si>
    <t>034174000714</t>
  </si>
  <si>
    <t>Trần Thị Hồng Vân</t>
  </si>
  <si>
    <t>034194014671</t>
  </si>
  <si>
    <t>Nguyễn Thanh Bình</t>
  </si>
  <si>
    <t>034066000736</t>
  </si>
  <si>
    <t xml:space="preserve">DANH SÁCH CHUYỂN XẾP LƯƠNG - VĂN PHÒNG CÔNG TY </t>
  </si>
  <si>
    <t xml:space="preserve">Ban điều hành </t>
  </si>
  <si>
    <t xml:space="preserve">Đỗ Thanh Tùng </t>
  </si>
  <si>
    <t>034069011750</t>
  </si>
  <si>
    <t xml:space="preserve">Chủ tịch Công ty </t>
  </si>
  <si>
    <t xml:space="preserve">Thạc sĩ </t>
  </si>
  <si>
    <t>Bùi Xuân Khả</t>
  </si>
  <si>
    <t>2696002854</t>
  </si>
  <si>
    <t>034074025311</t>
  </si>
  <si>
    <t>Giám đốc</t>
  </si>
  <si>
    <t>Nguyễn Văn Dĩnh</t>
  </si>
  <si>
    <t>2696002870</t>
  </si>
  <si>
    <t>034064015376</t>
  </si>
  <si>
    <t>7/1984</t>
  </si>
  <si>
    <t>Phó giám đốc</t>
  </si>
  <si>
    <t>Đỗ Xuân Vĩnh</t>
  </si>
  <si>
    <t>2696002878</t>
  </si>
  <si>
    <t>034073002735</t>
  </si>
  <si>
    <t>2696002884</t>
  </si>
  <si>
    <t>034171002520</t>
  </si>
  <si>
    <t>Kiểm soát viên</t>
  </si>
  <si>
    <t xml:space="preserve">Cử nhân kinh tế </t>
  </si>
  <si>
    <t>Nhâm Sỹ Hà</t>
  </si>
  <si>
    <t>2696002830</t>
  </si>
  <si>
    <t>034071000747</t>
  </si>
  <si>
    <t>Kế toán trưởng</t>
  </si>
  <si>
    <t>Phòng TC-HC</t>
  </si>
  <si>
    <t>Vương Đức Hùng</t>
  </si>
  <si>
    <t>27/10/1973</t>
  </si>
  <si>
    <t>034073024048</t>
  </si>
  <si>
    <t>7/1994</t>
  </si>
  <si>
    <t>Trưởng phòng Hành chính</t>
  </si>
  <si>
    <t xml:space="preserve">Đai học Bách khoa </t>
  </si>
  <si>
    <t>Đào Duy Lâm</t>
  </si>
  <si>
    <t>2600100665</t>
  </si>
  <si>
    <t>034079001309</t>
  </si>
  <si>
    <t>9/1999</t>
  </si>
  <si>
    <t>Phó phòng Hành chính</t>
  </si>
  <si>
    <t>Lê Thành Long</t>
  </si>
  <si>
    <t>2601002539</t>
  </si>
  <si>
    <t>15/09/1978</t>
  </si>
  <si>
    <t>034078000966</t>
  </si>
  <si>
    <t>Bùi Thị Thúy Nga</t>
  </si>
  <si>
    <t>2699040026</t>
  </si>
  <si>
    <t>10/12/1978</t>
  </si>
  <si>
    <t>034178003271</t>
  </si>
  <si>
    <t>6/1998</t>
  </si>
  <si>
    <t>Vũ Hồng Anh</t>
  </si>
  <si>
    <t>26/09/1973</t>
  </si>
  <si>
    <t>034073006953</t>
  </si>
  <si>
    <t>9/1991</t>
  </si>
  <si>
    <t>Quản trị hành chính</t>
  </si>
  <si>
    <t>Nguyễn Việt Hương</t>
  </si>
  <si>
    <t>3412006561</t>
  </si>
  <si>
    <t>08/08/1987</t>
  </si>
  <si>
    <t>034187012065</t>
  </si>
  <si>
    <t>Kế toán LĐTL, BHXH</t>
  </si>
  <si>
    <t>Đặng Thu Doan</t>
  </si>
  <si>
    <t>3412009667</t>
  </si>
  <si>
    <t>12/05/1990</t>
  </si>
  <si>
    <t>034190004560</t>
  </si>
  <si>
    <t>10/2012</t>
  </si>
  <si>
    <t>Bùi Thị Vân</t>
  </si>
  <si>
    <t>3420854448</t>
  </si>
  <si>
    <t>20/10/1988</t>
  </si>
  <si>
    <t>034188010827</t>
  </si>
  <si>
    <t>10/2020</t>
  </si>
  <si>
    <t>Cấp dưỡng</t>
  </si>
  <si>
    <t>Vương Đức Trung</t>
  </si>
  <si>
    <t>2607006136</t>
  </si>
  <si>
    <t>07/12/1973</t>
  </si>
  <si>
    <t>034073008358</t>
  </si>
  <si>
    <t>5/2006</t>
  </si>
  <si>
    <t>3/4</t>
  </si>
  <si>
    <t>Nguyễn Văn Bắc</t>
  </si>
  <si>
    <t>3415006735</t>
  </si>
  <si>
    <t>01/01/1985</t>
  </si>
  <si>
    <t>034085010644</t>
  </si>
  <si>
    <t>Lương Thành Tuân</t>
  </si>
  <si>
    <t>02/01/1983</t>
  </si>
  <si>
    <t>034083025947</t>
  </si>
  <si>
    <t>Phòng Tài Vụ</t>
  </si>
  <si>
    <t>Trịnh Thị Chuyền</t>
  </si>
  <si>
    <t>3108036162</t>
  </si>
  <si>
    <t>15/02/1983</t>
  </si>
  <si>
    <t>031183004852</t>
  </si>
  <si>
    <t>5/2009</t>
  </si>
  <si>
    <t xml:space="preserve">Phó phòng </t>
  </si>
  <si>
    <t>Kỹ sư thủy lợi, cử nhân kinh tế</t>
  </si>
  <si>
    <t>Nguyễn Thế Hùng</t>
  </si>
  <si>
    <t>2604002077</t>
  </si>
  <si>
    <t>02/05/1977</t>
  </si>
  <si>
    <t>034077007238</t>
  </si>
  <si>
    <t xml:space="preserve">Kế toán XDCB </t>
  </si>
  <si>
    <t>30/10/1988</t>
  </si>
  <si>
    <t>034188011069</t>
  </si>
  <si>
    <t>1/2009</t>
  </si>
  <si>
    <t>Phí Thị Hiên</t>
  </si>
  <si>
    <t>3410010816</t>
  </si>
  <si>
    <t>20/07/1988</t>
  </si>
  <si>
    <t>034188020318</t>
  </si>
  <si>
    <t>11/2009</t>
  </si>
  <si>
    <t>Lương Thị Mai</t>
  </si>
  <si>
    <t>22/03/1989</t>
  </si>
  <si>
    <t>034189003089</t>
  </si>
  <si>
    <t>Vũ Thùy Linh</t>
  </si>
  <si>
    <t>3416006059</t>
  </si>
  <si>
    <t>08/09/1993</t>
  </si>
  <si>
    <t>034193015626</t>
  </si>
  <si>
    <t xml:space="preserve">Lê Thị Hồng Thanh </t>
  </si>
  <si>
    <t>3414009645</t>
  </si>
  <si>
    <t>034192023546</t>
  </si>
  <si>
    <t>11/2023</t>
  </si>
  <si>
    <t xml:space="preserve">Kho quỹ </t>
  </si>
  <si>
    <t xml:space="preserve">Cao đẳng kế toán </t>
  </si>
  <si>
    <t>Phòng KH - KT</t>
  </si>
  <si>
    <t>Đỗ Trọng Hằng</t>
  </si>
  <si>
    <t>3411011253</t>
  </si>
  <si>
    <t>10/08/1982</t>
  </si>
  <si>
    <t>034082001368</t>
  </si>
  <si>
    <t>Trưởng phòng kế hoạch</t>
  </si>
  <si>
    <t>Đào Thị Hồng Hạnh</t>
  </si>
  <si>
    <t>2606001570</t>
  </si>
  <si>
    <t>04/12/1984</t>
  </si>
  <si>
    <t>034184010804</t>
  </si>
  <si>
    <t>Phó phòng kế hoạch</t>
  </si>
  <si>
    <t>Lê Ngọc Hòa</t>
  </si>
  <si>
    <t>0111072555</t>
  </si>
  <si>
    <t>07/11/1987</t>
  </si>
  <si>
    <t>034087022862</t>
  </si>
  <si>
    <t>6/2011</t>
  </si>
  <si>
    <t>Lại Công Năm</t>
  </si>
  <si>
    <t>0111133253</t>
  </si>
  <si>
    <t>24/11/1986</t>
  </si>
  <si>
    <t>034086004222</t>
  </si>
  <si>
    <t>5/2015</t>
  </si>
  <si>
    <t>Cán bộ Kế hoạch TDCT</t>
  </si>
  <si>
    <t>Lê Đức Mạnh</t>
  </si>
  <si>
    <t>3421821289</t>
  </si>
  <si>
    <t>29/12/1997</t>
  </si>
  <si>
    <t>034097002322</t>
  </si>
  <si>
    <t>8/2021</t>
  </si>
  <si>
    <t>Nguyễn Thu Hà</t>
  </si>
  <si>
    <t>3421801798</t>
  </si>
  <si>
    <t>034301001648</t>
  </si>
  <si>
    <t>12/2024</t>
  </si>
  <si>
    <t xml:space="preserve">Cán bộ Kế hoạch KT </t>
  </si>
  <si>
    <t xml:space="preserve">Nguyễn Huy Anh </t>
  </si>
  <si>
    <t>3420059095</t>
  </si>
  <si>
    <t>6/6/2000</t>
  </si>
  <si>
    <t>034200001191</t>
  </si>
  <si>
    <t>9/2025</t>
  </si>
  <si>
    <t xml:space="preserve">Nhân viên Kế hoạch </t>
  </si>
  <si>
    <t>Cao đẳng kế toán</t>
  </si>
  <si>
    <t>1/12</t>
  </si>
  <si>
    <t>1,80</t>
  </si>
  <si>
    <t>Bùi Thị Quyên</t>
  </si>
  <si>
    <t>02/08/1982</t>
  </si>
  <si>
    <t>034182001360</t>
  </si>
  <si>
    <t>Phòng QLN&amp;CT</t>
  </si>
  <si>
    <t>Phạm Thanh Nghị</t>
  </si>
  <si>
    <t>06/01/1970</t>
  </si>
  <si>
    <t>034070021367</t>
  </si>
  <si>
    <t>Trưởng phòng Quản lý nước và CT</t>
  </si>
  <si>
    <t>Tô Đình Tuyên</t>
  </si>
  <si>
    <t>02/10/1980</t>
  </si>
  <si>
    <t>034080000566</t>
  </si>
  <si>
    <t>Phó phòng quản lý nước và công trình</t>
  </si>
  <si>
    <t>Lưu Thị Lý</t>
  </si>
  <si>
    <t>3409023131</t>
  </si>
  <si>
    <t>21/09/1985</t>
  </si>
  <si>
    <t>034185002237</t>
  </si>
  <si>
    <t>8/2009</t>
  </si>
  <si>
    <t>Lê Thị Thanh Mai</t>
  </si>
  <si>
    <t>3409023129</t>
  </si>
  <si>
    <t>18/08/1986</t>
  </si>
  <si>
    <t>034186009810</t>
  </si>
  <si>
    <t xml:space="preserve">Quản lý KTCT </t>
  </si>
  <si>
    <t xml:space="preserve">Đỗ Thị Thu Thảo </t>
  </si>
  <si>
    <t>3422244060</t>
  </si>
  <si>
    <t>11/05/1988</t>
  </si>
  <si>
    <t>034198002132</t>
  </si>
  <si>
    <t>5/2022</t>
  </si>
  <si>
    <t xml:space="preserve">Lê Quang Hưng </t>
  </si>
  <si>
    <t>3420830975</t>
  </si>
  <si>
    <t>034096013422</t>
  </si>
  <si>
    <t>Dương Minh Tuấn</t>
  </si>
  <si>
    <t>3415009242</t>
  </si>
  <si>
    <t>24/10/1991</t>
  </si>
  <si>
    <t>034091002126</t>
  </si>
  <si>
    <t>Đỗ Ngọc Thưởng</t>
  </si>
  <si>
    <t>3421095358</t>
  </si>
  <si>
    <t>16/09/1994</t>
  </si>
  <si>
    <t>034094007467</t>
  </si>
  <si>
    <t>8/2019</t>
  </si>
  <si>
    <t>Trần Xuân Bách</t>
  </si>
  <si>
    <t>3415008015</t>
  </si>
  <si>
    <t>05/12/1991</t>
  </si>
  <si>
    <t>034091019944</t>
  </si>
  <si>
    <t>Cụm Trà linh</t>
  </si>
  <si>
    <t>Khúc Ngọc Hùng</t>
  </si>
  <si>
    <t>2696002875</t>
  </si>
  <si>
    <t>20/10/1969</t>
  </si>
  <si>
    <t>034069016569</t>
  </si>
  <si>
    <t>Phan Thanh Miền</t>
  </si>
  <si>
    <t>02/09/1974</t>
  </si>
  <si>
    <t>034074002603</t>
  </si>
  <si>
    <t>Nguyễn Công Tuyền</t>
  </si>
  <si>
    <t>20/06/1988</t>
  </si>
  <si>
    <t>034088021674</t>
  </si>
  <si>
    <t>7/2009</t>
  </si>
  <si>
    <t>Nguyễn Quang</t>
  </si>
  <si>
    <t>25/12/1993</t>
  </si>
  <si>
    <t>034093002061</t>
  </si>
  <si>
    <t>Đinh Văn Nam</t>
  </si>
  <si>
    <t>16/03/1994</t>
  </si>
  <si>
    <t>034094001632</t>
  </si>
  <si>
    <t>10/2015</t>
  </si>
  <si>
    <t>Nguyễn Công Đoàn</t>
  </si>
  <si>
    <t>19/08/1969</t>
  </si>
  <si>
    <t>034069004422</t>
  </si>
  <si>
    <t>Nguyễn Công Duy</t>
  </si>
  <si>
    <t>3420961050</t>
  </si>
  <si>
    <t>20/06/1992</t>
  </si>
  <si>
    <t>034092003415</t>
  </si>
  <si>
    <t>Kỹ sư quản lý đất đai</t>
  </si>
  <si>
    <t>Đặng Hữu Ét</t>
  </si>
  <si>
    <t>3422386233</t>
  </si>
  <si>
    <t>19/06/1987</t>
  </si>
  <si>
    <t>034087009156</t>
  </si>
  <si>
    <t>Đỗ Như Tuấn</t>
  </si>
  <si>
    <t>0303012830</t>
  </si>
  <si>
    <t>14/04/1980</t>
  </si>
  <si>
    <t>034080002565</t>
  </si>
  <si>
    <t>11/2021</t>
  </si>
  <si>
    <t xml:space="preserve">Vũ Đình Uyền </t>
  </si>
  <si>
    <t>6422392700</t>
  </si>
  <si>
    <t>034073012515</t>
  </si>
  <si>
    <t xml:space="preserve">Lê Tiến Đạt </t>
  </si>
  <si>
    <t>3016036166</t>
  </si>
  <si>
    <t>034093005491</t>
  </si>
  <si>
    <t>Phan Hải Nghĩa</t>
  </si>
  <si>
    <t>29/10/1982</t>
  </si>
  <si>
    <t>034082003547</t>
  </si>
  <si>
    <t>7/2006</t>
  </si>
  <si>
    <t>Cụm Hiệp</t>
  </si>
  <si>
    <t>Nguyễn Huy Văn</t>
  </si>
  <si>
    <t>2696002904</t>
  </si>
  <si>
    <t>26/11/1975</t>
  </si>
  <si>
    <t>034075017714</t>
  </si>
  <si>
    <t>3/1996</t>
  </si>
  <si>
    <t>Nguyễn Đăng Rực</t>
  </si>
  <si>
    <t>2696002860</t>
  </si>
  <si>
    <t>10/12/1965</t>
  </si>
  <si>
    <t>034065002560</t>
  </si>
  <si>
    <t>1/1988</t>
  </si>
  <si>
    <t>Bùi Tất Giỏi</t>
  </si>
  <si>
    <t>034083008531</t>
  </si>
  <si>
    <t>3/2005</t>
  </si>
  <si>
    <t>Bùi Văn Mỹ</t>
  </si>
  <si>
    <t>27/02/1980</t>
  </si>
  <si>
    <t>034080018856</t>
  </si>
  <si>
    <t>8/2004</t>
  </si>
  <si>
    <t>Cụm Thuyền Quan</t>
  </si>
  <si>
    <t>Chu Hoàng Khanh</t>
  </si>
  <si>
    <t>05/10/1975</t>
  </si>
  <si>
    <t>034075000821</t>
  </si>
  <si>
    <t>10/1998</t>
  </si>
  <si>
    <t>Đỗ Văn Nguyên</t>
  </si>
  <si>
    <t>0397087394</t>
  </si>
  <si>
    <t>30/12/1972</t>
  </si>
  <si>
    <t>034072001963</t>
  </si>
  <si>
    <t>3/1995</t>
  </si>
  <si>
    <t>Đoàn Văn Sáng</t>
  </si>
  <si>
    <t>2696002876</t>
  </si>
  <si>
    <t>08/09/1964</t>
  </si>
  <si>
    <t>034064004376</t>
  </si>
  <si>
    <t>Đoàn Văn Nhân</t>
  </si>
  <si>
    <t>07/09/1982</t>
  </si>
  <si>
    <t>034082010423</t>
  </si>
  <si>
    <t>Nguyễn Xuân Khiêm</t>
  </si>
  <si>
    <t>3420770958</t>
  </si>
  <si>
    <t>08/10/1982</t>
  </si>
  <si>
    <t>034082021167</t>
  </si>
  <si>
    <t>Lê Ngọc Tuấn</t>
  </si>
  <si>
    <t>0110103235</t>
  </si>
  <si>
    <t>22/01/1983</t>
  </si>
  <si>
    <t>034083023614</t>
  </si>
  <si>
    <t>2/2010</t>
  </si>
  <si>
    <t>Phạm Như Dũng</t>
  </si>
  <si>
    <t>05/04/1982</t>
  </si>
  <si>
    <t>034082005775</t>
  </si>
  <si>
    <t>Cụm Đồng Cống</t>
  </si>
  <si>
    <t>Đặng Văn Hoan</t>
  </si>
  <si>
    <t>2696002908</t>
  </si>
  <si>
    <t>06/03/1973</t>
  </si>
  <si>
    <t>034073002373</t>
  </si>
  <si>
    <t>Nguyễn Văn Nghiên</t>
  </si>
  <si>
    <t>15/12/1967</t>
  </si>
  <si>
    <t>034067002882</t>
  </si>
  <si>
    <t>9/1985</t>
  </si>
  <si>
    <t>Nguyễn Văn Phương</t>
  </si>
  <si>
    <t>07/06/1979</t>
  </si>
  <si>
    <t>034079001138</t>
  </si>
  <si>
    <t>12/2015</t>
  </si>
  <si>
    <t>Vũ Đình Lâm</t>
  </si>
  <si>
    <t>06/01/1989</t>
  </si>
  <si>
    <t>034089000397</t>
  </si>
  <si>
    <t>3/2015</t>
  </si>
  <si>
    <t>Kỹ sư Giao thông vận tải</t>
  </si>
  <si>
    <t>Nguyễn Xuân Dương</t>
  </si>
  <si>
    <t>18/12/1964</t>
  </si>
  <si>
    <t>034064013116</t>
  </si>
  <si>
    <t>3/1984</t>
  </si>
  <si>
    <t>Cụm Nhâm Lang</t>
  </si>
  <si>
    <t>Vũ Trọng Điều</t>
  </si>
  <si>
    <t>05/04/1970</t>
  </si>
  <si>
    <t>034070000226</t>
  </si>
  <si>
    <t>1/1989</t>
  </si>
  <si>
    <t>Hoàng Văn Chuẩn</t>
  </si>
  <si>
    <t>15/08/1977</t>
  </si>
  <si>
    <t>034077008480</t>
  </si>
  <si>
    <t>Nguyễn Sơn Tùng</t>
  </si>
  <si>
    <t>8706001623</t>
  </si>
  <si>
    <t>23/09/1981</t>
  </si>
  <si>
    <t>034081012030</t>
  </si>
  <si>
    <t>6/2019</t>
  </si>
  <si>
    <t>Nguyễn Văn Tần</t>
  </si>
  <si>
    <t>22/12/1964</t>
  </si>
  <si>
    <t>034064015564</t>
  </si>
  <si>
    <t xml:space="preserve">Phòng Cơ điện </t>
  </si>
  <si>
    <t>Giang Quốc Dương</t>
  </si>
  <si>
    <t>2606009485</t>
  </si>
  <si>
    <t>10/12/1984</t>
  </si>
  <si>
    <t>034084009949</t>
  </si>
  <si>
    <t>Trưởng phòng cơ điện</t>
  </si>
  <si>
    <t>Đặng Tân Việt</t>
  </si>
  <si>
    <t>3411006379</t>
  </si>
  <si>
    <t>07/03/1984</t>
  </si>
  <si>
    <t>034084005915</t>
  </si>
  <si>
    <t>5/2011</t>
  </si>
  <si>
    <t>Phó phòng cơ điện</t>
  </si>
  <si>
    <t>Đặng Xuân Tùng</t>
  </si>
  <si>
    <t>13/04/1993</t>
  </si>
  <si>
    <t>034093012023</t>
  </si>
  <si>
    <t xml:space="preserve">Nhân viên </t>
  </si>
  <si>
    <t xml:space="preserve">Đoàn Minh Tú </t>
  </si>
  <si>
    <t>034095004920</t>
  </si>
  <si>
    <t>Trung cấp điện</t>
  </si>
  <si>
    <t>Phạm Đức Hải</t>
  </si>
  <si>
    <t>2600100663</t>
  </si>
  <si>
    <t>11/04/1979</t>
  </si>
  <si>
    <t>034079010291</t>
  </si>
  <si>
    <t>Công nhân cơ điện</t>
  </si>
  <si>
    <t>Nguyễn Xuân Thiện</t>
  </si>
  <si>
    <t>2696002858</t>
  </si>
  <si>
    <t>15/08/1975</t>
  </si>
  <si>
    <t xml:space="preserve"> 001075034162</t>
  </si>
  <si>
    <t xml:space="preserve">Công nhân hàn điện </t>
  </si>
  <si>
    <t>Lưu Trung Chính</t>
  </si>
  <si>
    <t>2696002901</t>
  </si>
  <si>
    <t>13/06/1972</t>
  </si>
  <si>
    <t>034072006380</t>
  </si>
  <si>
    <t>11/1995</t>
  </si>
  <si>
    <t>DANH SÁCH CHUYỂN XẾP LƯƠNG - XÍ NGHIỆP KTCTTL Dong Hung</t>
  </si>
  <si>
    <t>034173005933</t>
  </si>
  <si>
    <t>Cụm Đại Nẫm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</si>
</sst>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mm/yy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2"/>
      <color theme="1"/>
      <name val="Times New Roman"/>
      <family val="2"/>
    </font>
    <font>
      <sz val="11"/>
      <color theme="1"/>
      <name val="Times New Roman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2"/>
    </font>
    <font>
      <b/>
      <sz val="11"/>
      <color theme="1"/>
      <name val="Times New Roman"/>
      <family val="2"/>
    </font>
    <font>
      <b/>
      <sz val="12"/>
      <color rgb="FF000000"/>
      <name val="Times New Roman"/>
      <family val="2"/>
    </font>
    <font>
      <sz val="12"/>
      <color rgb="FF081B3A"/>
      <name val="Times New Roman"/>
      <family val="2"/>
    </font>
    <font>
      <sz val="11"/>
      <color rgb="FFFF0000"/>
      <name val="Times New Roman"/>
      <family val="2"/>
    </font>
    <font>
      <b/>
      <sz val="10"/>
      <color rgb="FF000000"/>
      <name val="Times New Roman"/>
      <family val="2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1" xfId="0" applyFont="1" applyBorder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" fontId="4" fillId="0" borderId="5" xfId="0" applyNumberFormat="1" applyFont="1" applyBorder="1" applyAlignment="1">
      <alignment horizontal="center" wrapText="1"/>
    </xf>
    <xf numFmtId="3" fontId="4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 wrapText="1"/>
    </xf>
    <xf numFmtId="3" fontId="5" fillId="0" borderId="7" xfId="0" applyNumberFormat="1" applyFont="1" applyBorder="1" applyAlignment="1">
      <alignment horizontal="center" wrapText="1"/>
    </xf>
    <xf numFmtId="14" fontId="5" fillId="0" borderId="7" xfId="0" applyNumberFormat="1" applyFont="1" applyBorder="1" applyAlignment="1">
      <alignment horizontal="center" wrapText="1"/>
    </xf>
    <xf numFmtId="49" fontId="5" fillId="0" borderId="7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 wrapText="1"/>
    </xf>
    <xf numFmtId="3" fontId="6" fillId="0" borderId="8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3" fontId="6" fillId="0" borderId="9" xfId="0" applyNumberFormat="1" applyFont="1" applyBorder="1" applyAlignment="1">
      <alignment horizontal="center" wrapText="1"/>
    </xf>
    <xf numFmtId="3" fontId="6" fillId="0" borderId="9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 wrapText="1"/>
    </xf>
    <xf numFmtId="49" fontId="8" fillId="0" borderId="9" xfId="0" applyNumberFormat="1" applyFont="1" applyBorder="1" applyAlignment="1">
      <alignment horizontal="center" wrapText="1"/>
    </xf>
    <xf numFmtId="3" fontId="7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3" fontId="7" fillId="0" borderId="9" xfId="0" applyNumberFormat="1" applyFont="1" applyBorder="1" applyAlignment="1">
      <alignment horizontal="center" wrapText="1"/>
    </xf>
    <xf numFmtId="3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3" fontId="9" fillId="0" borderId="9" xfId="0" applyNumberFormat="1" applyFont="1" applyBorder="1" applyAlignment="1">
      <alignment horizontal="center" wrapText="1"/>
    </xf>
    <xf numFmtId="3" fontId="9" fillId="0" borderId="9" xfId="0" applyNumberFormat="1" applyFont="1" applyBorder="1" applyAlignment="1">
      <alignment horizontal="right"/>
    </xf>
    <xf numFmtId="49" fontId="7" fillId="0" borderId="9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14" fontId="8" fillId="0" borderId="9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 wrapText="1"/>
    </xf>
    <xf numFmtId="165" fontId="9" fillId="0" borderId="9" xfId="0" applyNumberFormat="1" applyFont="1" applyBorder="1" applyAlignment="1">
      <alignment horizontal="center" wrapText="1"/>
    </xf>
    <xf numFmtId="3" fontId="5" fillId="0" borderId="9" xfId="0" applyNumberFormat="1" applyFont="1" applyBorder="1" applyAlignment="1">
      <alignment horizontal="center" wrapText="1"/>
    </xf>
    <xf numFmtId="3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3" fontId="4" fillId="0" borderId="6" xfId="0" applyNumberFormat="1" applyFont="1" applyBorder="1" applyAlignment="1">
      <alignment horizontal="left"/>
    </xf>
    <xf numFmtId="14" fontId="4" fillId="0" borderId="6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164" fontId="4" fillId="0" borderId="6" xfId="0" applyNumberFormat="1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3" fontId="4" fillId="0" borderId="6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5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65" fontId="3" fillId="0" borderId="9" xfId="0" applyNumberFormat="1" applyFont="1" applyBorder="1" applyAlignment="1">
      <alignment horizontal="center" wrapText="1"/>
    </xf>
    <xf numFmtId="3" fontId="8" fillId="0" borderId="9" xfId="0" applyNumberFormat="1" applyFont="1" applyBorder="1" applyAlignment="1">
      <alignment horizontal="center" wrapText="1"/>
    </xf>
    <xf numFmtId="3" fontId="10" fillId="0" borderId="9" xfId="0" applyNumberFormat="1" applyFont="1" applyBorder="1" applyAlignment="1">
      <alignment horizontal="center" wrapText="1"/>
    </xf>
    <xf numFmtId="3" fontId="5" fillId="0" borderId="10" xfId="0" applyNumberFormat="1" applyFont="1" applyBorder="1" applyAlignment="1">
      <alignment horizontal="center" wrapText="1"/>
    </xf>
    <xf numFmtId="3" fontId="10" fillId="0" borderId="10" xfId="0" applyNumberFormat="1" applyFont="1" applyBorder="1" applyAlignment="1">
      <alignment horizontal="center" wrapText="1"/>
    </xf>
    <xf numFmtId="3" fontId="7" fillId="0" borderId="10" xfId="0" applyNumberFormat="1" applyFont="1" applyBorder="1" applyAlignment="1">
      <alignment horizontal="center" wrapText="1"/>
    </xf>
    <xf numFmtId="14" fontId="7" fillId="0" borderId="10" xfId="0" applyNumberFormat="1" applyFont="1" applyBorder="1" applyAlignment="1">
      <alignment horizontal="center" wrapText="1"/>
    </xf>
    <xf numFmtId="49" fontId="8" fillId="0" borderId="10" xfId="0" applyNumberFormat="1" applyFont="1" applyBorder="1" applyAlignment="1">
      <alignment horizontal="center" wrapText="1"/>
    </xf>
    <xf numFmtId="3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 wrapText="1"/>
    </xf>
    <xf numFmtId="3" fontId="9" fillId="0" borderId="6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7" xfId="0" applyFont="1" applyBorder="1" applyAlignment="1">
      <alignment horizontal="center"/>
    </xf>
    <xf numFmtId="4" fontId="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6" fillId="2" borderId="9" xfId="0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3" fontId="13" fillId="0" borderId="6" xfId="0" applyNumberFormat="1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left" wrapText="1"/>
    </xf>
    <xf numFmtId="3" fontId="13" fillId="0" borderId="6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 wrapText="1"/>
    </xf>
    <xf numFmtId="3" fontId="8" fillId="0" borderId="1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14" fontId="8" fillId="0" borderId="9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3" fontId="3" fillId="0" borderId="6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center" wrapText="1"/>
    </xf>
    <xf numFmtId="14" fontId="5" fillId="0" borderId="3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3" fontId="7" fillId="0" borderId="7" xfId="0" applyNumberFormat="1" applyFont="1" applyBorder="1" applyAlignment="1">
      <alignment horizontal="center" wrapText="1"/>
    </xf>
    <xf numFmtId="14" fontId="7" fillId="0" borderId="7" xfId="0" applyNumberFormat="1" applyFont="1" applyBorder="1" applyAlignment="1">
      <alignment horizontal="center" wrapText="1"/>
    </xf>
    <xf numFmtId="49" fontId="8" fillId="0" borderId="7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left"/>
    </xf>
    <xf numFmtId="3" fontId="9" fillId="2" borderId="9" xfId="0" applyNumberFormat="1" applyFont="1" applyFill="1" applyBorder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4" fontId="6" fillId="0" borderId="9" xfId="0" applyNumberFormat="1" applyFont="1" applyBorder="1" applyAlignment="1">
      <alignment horizontal="center" wrapText="1"/>
    </xf>
    <xf numFmtId="2" fontId="0" fillId="0" borderId="0" xfId="0" applyNumberFormat="1"/>
    <xf numFmtId="2" fontId="4" fillId="0" borderId="5" xfId="0" applyNumberFormat="1" applyFont="1" applyBorder="1" applyAlignment="1">
      <alignment horizontal="center" wrapText="1"/>
    </xf>
    <xf numFmtId="2" fontId="4" fillId="0" borderId="3" xfId="0" applyNumberFormat="1" applyFont="1" applyBorder="1" applyAlignment="1">
      <alignment horizontal="center" wrapText="1"/>
    </xf>
    <xf numFmtId="2" fontId="6" fillId="0" borderId="8" xfId="0" applyNumberFormat="1" applyFont="1" applyBorder="1" applyAlignment="1">
      <alignment horizontal="center" wrapText="1"/>
    </xf>
    <xf numFmtId="2" fontId="6" fillId="0" borderId="9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 wrapText="1"/>
    </xf>
    <xf numFmtId="2" fontId="3" fillId="0" borderId="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 wrapText="1"/>
    </xf>
    <xf numFmtId="2" fontId="9" fillId="0" borderId="9" xfId="0" applyNumberFormat="1" applyFont="1" applyBorder="1" applyAlignment="1">
      <alignment horizontal="center" wrapText="1"/>
    </xf>
    <xf numFmtId="2" fontId="3" fillId="0" borderId="6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 wrapText="1"/>
    </xf>
    <xf numFmtId="4" fontId="3" fillId="0" borderId="1" xfId="0" applyNumberFormat="1" applyFont="1" applyBorder="1" applyAlignment="1">
      <alignment horizontal="right" wrapText="1"/>
    </xf>
    <xf numFmtId="4" fontId="4" fillId="0" borderId="7" xfId="0" applyNumberFormat="1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 wrapText="1"/>
    </xf>
    <xf numFmtId="4" fontId="9" fillId="0" borderId="9" xfId="0" applyNumberFormat="1" applyFont="1" applyBorder="1" applyAlignment="1">
      <alignment horizontal="center"/>
    </xf>
    <xf numFmtId="4" fontId="9" fillId="0" borderId="9" xfId="0" applyNumberFormat="1" applyFont="1" applyBorder="1" applyAlignment="1">
      <alignment horizontal="center" wrapText="1"/>
    </xf>
    <xf numFmtId="4" fontId="3" fillId="0" borderId="6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4" fillId="0" borderId="7" xfId="0" applyNumberFormat="1" applyFont="1" applyBorder="1" applyAlignment="1">
      <alignment horizontal="center" wrapText="1"/>
    </xf>
    <xf numFmtId="2" fontId="6" fillId="0" borderId="8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 wrapText="1"/>
    </xf>
    <xf numFmtId="4" fontId="9" fillId="0" borderId="6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 vertical="top"/>
    </xf>
    <xf numFmtId="3" fontId="4" fillId="0" borderId="5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5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vertical="top" wrapText="1"/>
    </xf>
    <xf numFmtId="164" fontId="5" fillId="0" borderId="5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 vertical="top"/>
    </xf>
    <xf numFmtId="3" fontId="4" fillId="0" borderId="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6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 vertical="top" wrapText="1"/>
    </xf>
    <xf numFmtId="3" fontId="5" fillId="0" borderId="5" xfId="0" applyNumberFormat="1" applyFont="1" applyBorder="1" applyAlignment="1">
      <alignment horizontal="center" wrapText="1"/>
    </xf>
    <xf numFmtId="14" fontId="5" fillId="0" borderId="5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99"/>
  <sheetViews>
    <sheetView topLeftCell="A8" zoomScale="55" zoomScaleNormal="55" workbookViewId="0">
      <selection activeCell="M3" sqref="M1:M1048576"/>
    </sheetView>
  </sheetViews>
  <sheetFormatPr defaultRowHeight="14.5" x14ac:dyDescent="0.35"/>
  <cols>
    <col min="1" max="1" width="6.7265625" style="111" bestFit="1" customWidth="1"/>
    <col min="2" max="2" width="20.453125" bestFit="1" customWidth="1"/>
    <col min="3" max="3" width="6.7265625" style="96" bestFit="1" customWidth="1"/>
    <col min="4" max="4" width="21.453125" style="97" bestFit="1" customWidth="1"/>
    <col min="5" max="5" width="21.453125" style="98" bestFit="1" customWidth="1"/>
    <col min="6" max="6" width="21.453125" style="97" bestFit="1" customWidth="1"/>
    <col min="7" max="7" width="21.453125" style="96" bestFit="1" customWidth="1"/>
    <col min="8" max="9" width="31.54296875" style="7" bestFit="1" customWidth="1"/>
    <col min="10" max="10" width="8.26953125" bestFit="1" customWidth="1"/>
    <col min="11" max="13" width="6.7265625" style="142" bestFit="1" customWidth="1"/>
    <col min="14" max="14" width="13.54296875" style="2" hidden="1" bestFit="1" customWidth="1"/>
    <col min="15" max="15" width="12.7265625" style="2" bestFit="1" customWidth="1"/>
  </cols>
  <sheetData>
    <row r="1" spans="1:15" ht="21.75" customHeight="1" x14ac:dyDescent="0.35">
      <c r="A1" s="185" t="s">
        <v>0</v>
      </c>
      <c r="B1" s="186"/>
      <c r="C1" s="186"/>
      <c r="D1" s="187"/>
      <c r="E1" s="188"/>
      <c r="F1" s="187"/>
      <c r="G1" s="186"/>
      <c r="H1" s="189"/>
      <c r="I1" s="1"/>
      <c r="J1" s="186" t="s">
        <v>1673</v>
      </c>
      <c r="K1" s="185"/>
      <c r="L1" s="185"/>
      <c r="M1" s="185"/>
      <c r="N1" s="185"/>
      <c r="O1" s="185"/>
    </row>
    <row r="2" spans="1:15" ht="21.75" customHeight="1" x14ac:dyDescent="0.35">
      <c r="A2" s="185" t="s">
        <v>2</v>
      </c>
      <c r="B2" s="186"/>
      <c r="C2" s="186"/>
      <c r="D2" s="187"/>
      <c r="E2" s="188"/>
      <c r="F2" s="187"/>
      <c r="G2" s="186"/>
      <c r="H2" s="189"/>
      <c r="I2" s="1"/>
      <c r="J2" s="190" t="s">
        <v>3</v>
      </c>
      <c r="K2" s="191"/>
      <c r="L2" s="191"/>
      <c r="M2" s="191"/>
      <c r="N2" s="191"/>
      <c r="O2" s="191"/>
    </row>
    <row r="3" spans="1:15" ht="21.75" customHeight="1" x14ac:dyDescent="0.35">
      <c r="A3" s="185" t="s">
        <v>4</v>
      </c>
      <c r="B3" s="186"/>
      <c r="C3" s="186"/>
      <c r="D3" s="187"/>
      <c r="E3" s="188"/>
      <c r="F3" s="187"/>
      <c r="G3" s="186"/>
      <c r="H3" s="189"/>
      <c r="I3" s="1"/>
      <c r="L3" s="153"/>
    </row>
    <row r="4" spans="1:15" ht="18.75" customHeight="1" x14ac:dyDescent="0.35"/>
    <row r="5" spans="1:15" ht="18.75" customHeight="1" x14ac:dyDescent="0.35"/>
    <row r="6" spans="1:15" ht="19.5" customHeight="1" x14ac:dyDescent="0.35">
      <c r="A6" s="179" t="s">
        <v>5</v>
      </c>
      <c r="B6" s="181" t="s">
        <v>6</v>
      </c>
      <c r="C6" s="174" t="s">
        <v>1042</v>
      </c>
      <c r="D6" s="172" t="s">
        <v>8</v>
      </c>
      <c r="E6" s="183" t="s">
        <v>9</v>
      </c>
      <c r="F6" s="172" t="s">
        <v>10</v>
      </c>
      <c r="G6" s="174" t="s">
        <v>11</v>
      </c>
      <c r="H6" s="174" t="s">
        <v>12</v>
      </c>
      <c r="I6" s="174" t="s">
        <v>1043</v>
      </c>
      <c r="J6" s="176" t="s">
        <v>14</v>
      </c>
      <c r="K6" s="177"/>
      <c r="L6" s="177"/>
      <c r="M6" s="177"/>
      <c r="N6" s="177"/>
      <c r="O6" s="178"/>
    </row>
    <row r="7" spans="1:15" ht="31.5" customHeight="1" x14ac:dyDescent="0.35">
      <c r="A7" s="180"/>
      <c r="B7" s="182"/>
      <c r="C7" s="175"/>
      <c r="D7" s="173"/>
      <c r="E7" s="184"/>
      <c r="F7" s="173"/>
      <c r="G7" s="175"/>
      <c r="H7" s="175"/>
      <c r="I7" s="175"/>
      <c r="J7" s="9" t="s">
        <v>15</v>
      </c>
      <c r="K7" s="143" t="s">
        <v>16</v>
      </c>
      <c r="L7" s="143" t="s">
        <v>18</v>
      </c>
      <c r="M7" s="143" t="s">
        <v>17</v>
      </c>
      <c r="N7" s="8"/>
      <c r="O7" s="8" t="s">
        <v>19</v>
      </c>
    </row>
    <row r="8" spans="1:15" ht="19.5" customHeight="1" x14ac:dyDescent="0.35">
      <c r="A8" s="19"/>
      <c r="B8" s="113" t="s">
        <v>1674</v>
      </c>
      <c r="C8" s="18"/>
      <c r="D8" s="131"/>
      <c r="E8" s="132"/>
      <c r="F8" s="131"/>
      <c r="G8" s="18"/>
      <c r="H8" s="18"/>
      <c r="I8" s="18"/>
      <c r="J8" s="19"/>
      <c r="K8" s="144"/>
      <c r="L8" s="144"/>
      <c r="M8" s="144"/>
      <c r="N8" s="19"/>
      <c r="O8" s="19"/>
    </row>
    <row r="9" spans="1:15" ht="18.75" customHeight="1" x14ac:dyDescent="0.35">
      <c r="A9" s="20">
        <v>1</v>
      </c>
      <c r="B9" s="133" t="s">
        <v>1675</v>
      </c>
      <c r="C9" s="27"/>
      <c r="D9" s="134">
        <v>2696029759</v>
      </c>
      <c r="E9" s="135">
        <v>25374</v>
      </c>
      <c r="F9" s="136" t="s">
        <v>1676</v>
      </c>
      <c r="G9" s="27" t="s">
        <v>1260</v>
      </c>
      <c r="H9" s="27" t="s">
        <v>1677</v>
      </c>
      <c r="I9" s="27" t="s">
        <v>1678</v>
      </c>
      <c r="J9" s="31"/>
      <c r="K9" s="145"/>
      <c r="L9" s="145"/>
      <c r="M9" s="145"/>
      <c r="N9" s="31"/>
      <c r="O9" s="32">
        <v>37000000</v>
      </c>
    </row>
    <row r="10" spans="1:15" ht="19.5" customHeight="1" x14ac:dyDescent="0.35">
      <c r="A10" s="33">
        <v>2</v>
      </c>
      <c r="B10" s="34" t="s">
        <v>1679</v>
      </c>
      <c r="C10" s="28"/>
      <c r="D10" s="23" t="s">
        <v>1680</v>
      </c>
      <c r="E10" s="24">
        <v>27304</v>
      </c>
      <c r="F10" s="41" t="s">
        <v>1681</v>
      </c>
      <c r="G10" s="102" t="s">
        <v>491</v>
      </c>
      <c r="H10" s="28" t="s">
        <v>1682</v>
      </c>
      <c r="I10" s="27" t="s">
        <v>1678</v>
      </c>
      <c r="J10" s="36"/>
      <c r="K10" s="146"/>
      <c r="L10" s="148"/>
      <c r="M10" s="148"/>
      <c r="N10" s="36"/>
      <c r="O10" s="37">
        <v>25000000</v>
      </c>
    </row>
    <row r="11" spans="1:15" ht="19.5" customHeight="1" x14ac:dyDescent="0.35">
      <c r="A11" s="33">
        <v>3</v>
      </c>
      <c r="B11" s="34" t="s">
        <v>1683</v>
      </c>
      <c r="C11" s="28"/>
      <c r="D11" s="23" t="s">
        <v>1684</v>
      </c>
      <c r="E11" s="24">
        <v>23625</v>
      </c>
      <c r="F11" s="25" t="s">
        <v>1685</v>
      </c>
      <c r="G11" s="102" t="s">
        <v>1686</v>
      </c>
      <c r="H11" s="28" t="s">
        <v>1687</v>
      </c>
      <c r="I11" s="27" t="s">
        <v>1678</v>
      </c>
      <c r="J11" s="36"/>
      <c r="K11" s="146"/>
      <c r="L11" s="148"/>
      <c r="M11" s="148"/>
      <c r="N11" s="36"/>
      <c r="O11" s="37">
        <v>32000000</v>
      </c>
    </row>
    <row r="12" spans="1:15" ht="19.5" customHeight="1" x14ac:dyDescent="0.35">
      <c r="A12" s="33">
        <v>4</v>
      </c>
      <c r="B12" s="34" t="s">
        <v>1688</v>
      </c>
      <c r="C12" s="28"/>
      <c r="D12" s="23" t="s">
        <v>1689</v>
      </c>
      <c r="E12" s="24">
        <v>26687</v>
      </c>
      <c r="F12" s="25" t="s">
        <v>1690</v>
      </c>
      <c r="G12" s="102" t="s">
        <v>400</v>
      </c>
      <c r="H12" s="28" t="s">
        <v>1687</v>
      </c>
      <c r="I12" s="27" t="s">
        <v>1678</v>
      </c>
      <c r="J12" s="36"/>
      <c r="K12" s="146"/>
      <c r="L12" s="148"/>
      <c r="M12" s="148"/>
      <c r="N12" s="36"/>
      <c r="O12" s="37">
        <v>32000000</v>
      </c>
    </row>
    <row r="13" spans="1:15" ht="19.5" customHeight="1" x14ac:dyDescent="0.35">
      <c r="A13" s="33">
        <v>5</v>
      </c>
      <c r="B13" s="34" t="s">
        <v>1224</v>
      </c>
      <c r="C13" s="28" t="s">
        <v>21</v>
      </c>
      <c r="D13" s="23" t="s">
        <v>1691</v>
      </c>
      <c r="E13" s="24">
        <v>26104</v>
      </c>
      <c r="F13" s="25" t="s">
        <v>1692</v>
      </c>
      <c r="G13" s="22" t="s">
        <v>1419</v>
      </c>
      <c r="H13" s="28" t="s">
        <v>1693</v>
      </c>
      <c r="I13" s="27" t="s">
        <v>1694</v>
      </c>
      <c r="J13" s="36"/>
      <c r="K13" s="146"/>
      <c r="L13" s="148"/>
      <c r="M13" s="148"/>
      <c r="N13" s="36"/>
      <c r="O13" s="37">
        <v>30000000</v>
      </c>
    </row>
    <row r="14" spans="1:15" ht="22.5" customHeight="1" x14ac:dyDescent="0.35">
      <c r="A14" s="33">
        <v>6</v>
      </c>
      <c r="B14" s="34" t="s">
        <v>1695</v>
      </c>
      <c r="C14" s="28"/>
      <c r="D14" s="23" t="s">
        <v>1696</v>
      </c>
      <c r="E14" s="24">
        <v>26224</v>
      </c>
      <c r="F14" s="25" t="s">
        <v>1697</v>
      </c>
      <c r="G14" s="102" t="s">
        <v>1472</v>
      </c>
      <c r="H14" s="28" t="s">
        <v>1698</v>
      </c>
      <c r="I14" s="27" t="s">
        <v>1678</v>
      </c>
      <c r="J14" s="36"/>
      <c r="K14" s="146"/>
      <c r="L14" s="148"/>
      <c r="M14" s="148"/>
      <c r="N14" s="36"/>
      <c r="O14" s="37">
        <v>30000000</v>
      </c>
    </row>
    <row r="15" spans="1:15" ht="22.5" customHeight="1" x14ac:dyDescent="0.35">
      <c r="A15" s="46"/>
      <c r="B15" s="137" t="s">
        <v>1699</v>
      </c>
      <c r="C15" s="55"/>
      <c r="D15" s="49"/>
      <c r="E15" s="115"/>
      <c r="F15" s="50"/>
      <c r="G15" s="138"/>
      <c r="H15" s="55"/>
      <c r="I15" s="55"/>
      <c r="J15" s="52"/>
      <c r="K15" s="147"/>
      <c r="L15" s="151"/>
      <c r="M15" s="151"/>
      <c r="N15" s="52"/>
      <c r="O15" s="53"/>
    </row>
    <row r="16" spans="1:15" ht="22.5" customHeight="1" x14ac:dyDescent="0.35">
      <c r="A16" s="33">
        <v>7</v>
      </c>
      <c r="B16" s="34" t="s">
        <v>1700</v>
      </c>
      <c r="C16" s="28"/>
      <c r="D16" s="42">
        <v>2696002867</v>
      </c>
      <c r="E16" s="24" t="s">
        <v>1701</v>
      </c>
      <c r="F16" s="41" t="s">
        <v>1702</v>
      </c>
      <c r="G16" s="22" t="s">
        <v>1703</v>
      </c>
      <c r="H16" s="28" t="s">
        <v>1704</v>
      </c>
      <c r="I16" s="28" t="s">
        <v>1705</v>
      </c>
      <c r="J16" s="28" t="s">
        <v>219</v>
      </c>
      <c r="K16" s="148">
        <v>4.99</v>
      </c>
      <c r="L16" s="148">
        <v>0.5</v>
      </c>
      <c r="M16" s="148"/>
      <c r="N16" s="36">
        <v>0.3</v>
      </c>
      <c r="O16" s="37">
        <f>(K16+L16+M16)*2340000+(L16*2340000)</f>
        <v>14016600</v>
      </c>
    </row>
    <row r="17" spans="1:15" ht="22.5" customHeight="1" x14ac:dyDescent="0.35">
      <c r="A17" s="33">
        <v>8</v>
      </c>
      <c r="B17" s="34" t="s">
        <v>1706</v>
      </c>
      <c r="C17" s="28"/>
      <c r="D17" s="23" t="s">
        <v>1707</v>
      </c>
      <c r="E17" s="24" t="s">
        <v>863</v>
      </c>
      <c r="F17" s="41" t="s">
        <v>1708</v>
      </c>
      <c r="G17" s="102" t="s">
        <v>1709</v>
      </c>
      <c r="H17" s="28" t="s">
        <v>1710</v>
      </c>
      <c r="I17" s="28" t="s">
        <v>1678</v>
      </c>
      <c r="J17" s="28" t="s">
        <v>28</v>
      </c>
      <c r="K17" s="148">
        <v>4.33</v>
      </c>
      <c r="L17" s="148">
        <v>0.3</v>
      </c>
      <c r="M17" s="148"/>
      <c r="N17" s="36">
        <v>0.3</v>
      </c>
      <c r="O17" s="37">
        <f t="shared" ref="O17:O26" si="0">(K17+L17+M17)*2340000</f>
        <v>10834200</v>
      </c>
    </row>
    <row r="18" spans="1:15" ht="22.5" customHeight="1" x14ac:dyDescent="0.35">
      <c r="A18" s="33">
        <v>9</v>
      </c>
      <c r="B18" s="34" t="s">
        <v>1711</v>
      </c>
      <c r="C18" s="28"/>
      <c r="D18" s="23" t="s">
        <v>1712</v>
      </c>
      <c r="E18" s="24" t="s">
        <v>1713</v>
      </c>
      <c r="F18" s="41" t="s">
        <v>1714</v>
      </c>
      <c r="G18" s="102" t="s">
        <v>920</v>
      </c>
      <c r="H18" s="28" t="s">
        <v>1710</v>
      </c>
      <c r="I18" s="27" t="s">
        <v>1694</v>
      </c>
      <c r="J18" s="28" t="s">
        <v>28</v>
      </c>
      <c r="K18" s="148">
        <v>4.33</v>
      </c>
      <c r="L18" s="148">
        <v>0.3</v>
      </c>
      <c r="M18" s="148"/>
      <c r="N18" s="36">
        <v>0.3</v>
      </c>
      <c r="O18" s="37">
        <f t="shared" si="0"/>
        <v>10834200</v>
      </c>
    </row>
    <row r="19" spans="1:15" ht="22.5" customHeight="1" x14ac:dyDescent="0.35">
      <c r="A19" s="33">
        <v>10</v>
      </c>
      <c r="B19" s="34" t="s">
        <v>1715</v>
      </c>
      <c r="C19" s="28" t="s">
        <v>21</v>
      </c>
      <c r="D19" s="23" t="s">
        <v>1716</v>
      </c>
      <c r="E19" s="24" t="s">
        <v>1717</v>
      </c>
      <c r="F19" s="25" t="s">
        <v>1718</v>
      </c>
      <c r="G19" s="102" t="s">
        <v>1719</v>
      </c>
      <c r="H19" s="28" t="s">
        <v>1710</v>
      </c>
      <c r="I19" s="27" t="s">
        <v>1694</v>
      </c>
      <c r="J19" s="28" t="s">
        <v>28</v>
      </c>
      <c r="K19" s="148">
        <v>4.33</v>
      </c>
      <c r="L19" s="148">
        <v>0.3</v>
      </c>
      <c r="M19" s="148"/>
      <c r="N19" s="36">
        <v>0.3</v>
      </c>
      <c r="O19" s="37">
        <f t="shared" si="0"/>
        <v>10834200</v>
      </c>
    </row>
    <row r="20" spans="1:15" ht="22.5" customHeight="1" x14ac:dyDescent="0.35">
      <c r="A20" s="33">
        <v>11</v>
      </c>
      <c r="B20" s="34" t="s">
        <v>1720</v>
      </c>
      <c r="C20" s="28"/>
      <c r="D20" s="42">
        <v>6697340343</v>
      </c>
      <c r="E20" s="24" t="s">
        <v>1721</v>
      </c>
      <c r="F20" s="25" t="s">
        <v>1722</v>
      </c>
      <c r="G20" s="102" t="s">
        <v>1723</v>
      </c>
      <c r="H20" s="28" t="s">
        <v>1724</v>
      </c>
      <c r="I20" s="27" t="s">
        <v>1694</v>
      </c>
      <c r="J20" s="28" t="s">
        <v>50</v>
      </c>
      <c r="K20" s="148">
        <v>4.51</v>
      </c>
      <c r="L20" s="148"/>
      <c r="M20" s="148"/>
      <c r="N20" s="36">
        <v>0.3</v>
      </c>
      <c r="O20" s="37">
        <f t="shared" si="0"/>
        <v>10553400</v>
      </c>
    </row>
    <row r="21" spans="1:15" ht="22.5" customHeight="1" x14ac:dyDescent="0.35">
      <c r="A21" s="33">
        <v>12</v>
      </c>
      <c r="B21" s="34" t="s">
        <v>1725</v>
      </c>
      <c r="C21" s="22" t="s">
        <v>21</v>
      </c>
      <c r="D21" s="23" t="s">
        <v>1726</v>
      </c>
      <c r="E21" s="40" t="s">
        <v>1727</v>
      </c>
      <c r="F21" s="41" t="s">
        <v>1728</v>
      </c>
      <c r="G21" s="102" t="s">
        <v>1393</v>
      </c>
      <c r="H21" s="28" t="s">
        <v>1729</v>
      </c>
      <c r="I21" s="27" t="s">
        <v>1694</v>
      </c>
      <c r="J21" s="22" t="s">
        <v>37</v>
      </c>
      <c r="K21" s="146">
        <v>3.27</v>
      </c>
      <c r="L21" s="146"/>
      <c r="M21" s="146"/>
      <c r="N21" s="36">
        <v>0.3</v>
      </c>
      <c r="O21" s="37">
        <f t="shared" si="0"/>
        <v>7651800</v>
      </c>
    </row>
    <row r="22" spans="1:15" ht="22.5" customHeight="1" x14ac:dyDescent="0.35">
      <c r="A22" s="33">
        <v>13</v>
      </c>
      <c r="B22" s="34" t="s">
        <v>1730</v>
      </c>
      <c r="C22" s="44" t="s">
        <v>21</v>
      </c>
      <c r="D22" s="23" t="s">
        <v>1731</v>
      </c>
      <c r="E22" s="40" t="s">
        <v>1732</v>
      </c>
      <c r="F22" s="41" t="s">
        <v>1733</v>
      </c>
      <c r="G22" s="102" t="s">
        <v>1734</v>
      </c>
      <c r="H22" s="43" t="s">
        <v>61</v>
      </c>
      <c r="I22" s="27" t="s">
        <v>1694</v>
      </c>
      <c r="J22" s="44" t="s">
        <v>37</v>
      </c>
      <c r="K22" s="149">
        <v>3.27</v>
      </c>
      <c r="L22" s="149"/>
      <c r="M22" s="149"/>
      <c r="N22" s="36">
        <v>0.3</v>
      </c>
      <c r="O22" s="37">
        <f t="shared" si="0"/>
        <v>7651800</v>
      </c>
    </row>
    <row r="23" spans="1:15" ht="22.5" customHeight="1" x14ac:dyDescent="0.35">
      <c r="A23" s="33">
        <v>14</v>
      </c>
      <c r="B23" s="34" t="s">
        <v>1735</v>
      </c>
      <c r="C23" s="44" t="s">
        <v>21</v>
      </c>
      <c r="D23" s="23" t="s">
        <v>1736</v>
      </c>
      <c r="E23" s="24" t="s">
        <v>1737</v>
      </c>
      <c r="F23" s="25" t="s">
        <v>1738</v>
      </c>
      <c r="G23" s="102" t="s">
        <v>1739</v>
      </c>
      <c r="H23" s="43" t="s">
        <v>1740</v>
      </c>
      <c r="I23" s="27" t="s">
        <v>1694</v>
      </c>
      <c r="J23" s="44" t="s">
        <v>63</v>
      </c>
      <c r="K23" s="149">
        <v>2.96</v>
      </c>
      <c r="L23" s="149"/>
      <c r="M23" s="149"/>
      <c r="N23" s="36">
        <v>0.3</v>
      </c>
      <c r="O23" s="37">
        <f t="shared" si="0"/>
        <v>6926400</v>
      </c>
    </row>
    <row r="24" spans="1:15" ht="22.5" customHeight="1" x14ac:dyDescent="0.35">
      <c r="A24" s="33">
        <v>15</v>
      </c>
      <c r="B24" s="34" t="s">
        <v>1741</v>
      </c>
      <c r="C24" s="43"/>
      <c r="D24" s="23" t="s">
        <v>1742</v>
      </c>
      <c r="E24" s="40" t="s">
        <v>1743</v>
      </c>
      <c r="F24" s="41" t="s">
        <v>1744</v>
      </c>
      <c r="G24" s="102" t="s">
        <v>1745</v>
      </c>
      <c r="H24" s="43" t="s">
        <v>1073</v>
      </c>
      <c r="I24" s="43" t="s">
        <v>69</v>
      </c>
      <c r="J24" s="43" t="s">
        <v>70</v>
      </c>
      <c r="K24" s="150">
        <v>3.6</v>
      </c>
      <c r="L24" s="150"/>
      <c r="M24" s="150"/>
      <c r="N24" s="36">
        <v>0.3</v>
      </c>
      <c r="O24" s="37">
        <f t="shared" si="0"/>
        <v>8424000</v>
      </c>
    </row>
    <row r="25" spans="1:15" ht="22.5" customHeight="1" x14ac:dyDescent="0.35">
      <c r="A25" s="33">
        <v>16</v>
      </c>
      <c r="B25" s="34" t="s">
        <v>1747</v>
      </c>
      <c r="C25" s="35"/>
      <c r="D25" s="23" t="s">
        <v>1748</v>
      </c>
      <c r="E25" s="24" t="s">
        <v>1749</v>
      </c>
      <c r="F25" s="25" t="s">
        <v>1750</v>
      </c>
      <c r="G25" s="102" t="s">
        <v>805</v>
      </c>
      <c r="H25" s="43" t="s">
        <v>1073</v>
      </c>
      <c r="I25" s="43" t="s">
        <v>69</v>
      </c>
      <c r="J25" s="28" t="s">
        <v>1746</v>
      </c>
      <c r="K25" s="148">
        <v>3.05</v>
      </c>
      <c r="L25" s="146"/>
      <c r="M25" s="146"/>
      <c r="N25" s="36">
        <v>0.3</v>
      </c>
      <c r="O25" s="37">
        <f t="shared" si="0"/>
        <v>7137000</v>
      </c>
    </row>
    <row r="26" spans="1:15" ht="22.5" customHeight="1" x14ac:dyDescent="0.35">
      <c r="A26" s="33">
        <v>17</v>
      </c>
      <c r="B26" s="34" t="s">
        <v>1751</v>
      </c>
      <c r="C26" s="28"/>
      <c r="D26" s="42">
        <v>2604004610</v>
      </c>
      <c r="E26" s="24" t="s">
        <v>1752</v>
      </c>
      <c r="F26" s="41" t="s">
        <v>1753</v>
      </c>
      <c r="G26" s="102" t="s">
        <v>440</v>
      </c>
      <c r="H26" s="28" t="s">
        <v>1073</v>
      </c>
      <c r="I26" s="43" t="s">
        <v>69</v>
      </c>
      <c r="J26" s="28" t="s">
        <v>70</v>
      </c>
      <c r="K26" s="148">
        <v>3.6</v>
      </c>
      <c r="L26" s="148"/>
      <c r="M26" s="148"/>
      <c r="N26" s="36">
        <v>0.3</v>
      </c>
      <c r="O26" s="37">
        <f t="shared" si="0"/>
        <v>8424000</v>
      </c>
    </row>
    <row r="27" spans="1:15" ht="22.5" customHeight="1" x14ac:dyDescent="0.35">
      <c r="A27" s="46"/>
      <c r="B27" s="137" t="s">
        <v>1754</v>
      </c>
      <c r="C27" s="55"/>
      <c r="D27" s="49"/>
      <c r="E27" s="49"/>
      <c r="F27" s="79"/>
      <c r="G27" s="138"/>
      <c r="H27" s="55"/>
      <c r="I27" s="55"/>
      <c r="J27" s="52"/>
      <c r="K27" s="151"/>
      <c r="L27" s="151"/>
      <c r="M27" s="151"/>
      <c r="N27" s="52"/>
      <c r="O27" s="53"/>
    </row>
    <row r="28" spans="1:15" ht="22.5" customHeight="1" x14ac:dyDescent="0.35">
      <c r="A28" s="33">
        <v>18</v>
      </c>
      <c r="B28" s="34" t="s">
        <v>1755</v>
      </c>
      <c r="C28" s="28" t="s">
        <v>21</v>
      </c>
      <c r="D28" s="23" t="s">
        <v>1756</v>
      </c>
      <c r="E28" s="24" t="s">
        <v>1757</v>
      </c>
      <c r="F28" s="25" t="s">
        <v>1758</v>
      </c>
      <c r="G28" s="22" t="s">
        <v>1759</v>
      </c>
      <c r="H28" s="28" t="s">
        <v>1760</v>
      </c>
      <c r="I28" s="28" t="s">
        <v>1761</v>
      </c>
      <c r="J28" s="28" t="s">
        <v>35</v>
      </c>
      <c r="K28" s="148">
        <v>4</v>
      </c>
      <c r="L28" s="148">
        <v>0.3</v>
      </c>
      <c r="M28" s="148"/>
      <c r="N28" s="36">
        <v>0.3</v>
      </c>
      <c r="O28" s="37">
        <f t="shared" ref="O28:O34" si="1">(K28+L28+M28)*2340000</f>
        <v>10062000</v>
      </c>
    </row>
    <row r="29" spans="1:15" ht="22.5" customHeight="1" x14ac:dyDescent="0.35">
      <c r="A29" s="33">
        <v>19</v>
      </c>
      <c r="B29" s="34" t="s">
        <v>1762</v>
      </c>
      <c r="C29" s="28"/>
      <c r="D29" s="23" t="s">
        <v>1763</v>
      </c>
      <c r="E29" s="24" t="s">
        <v>1764</v>
      </c>
      <c r="F29" s="25" t="s">
        <v>1765</v>
      </c>
      <c r="G29" s="22" t="s">
        <v>1050</v>
      </c>
      <c r="H29" s="28" t="s">
        <v>1766</v>
      </c>
      <c r="I29" s="28" t="s">
        <v>49</v>
      </c>
      <c r="J29" s="28" t="s">
        <v>50</v>
      </c>
      <c r="K29" s="148">
        <v>4.51</v>
      </c>
      <c r="L29" s="148"/>
      <c r="M29" s="148"/>
      <c r="N29" s="36">
        <v>0.3</v>
      </c>
      <c r="O29" s="37">
        <f t="shared" si="1"/>
        <v>10553400</v>
      </c>
    </row>
    <row r="30" spans="1:15" ht="22.5" customHeight="1" x14ac:dyDescent="0.35">
      <c r="A30" s="33">
        <v>20</v>
      </c>
      <c r="B30" s="34" t="s">
        <v>1224</v>
      </c>
      <c r="C30" s="22" t="s">
        <v>21</v>
      </c>
      <c r="D30" s="42">
        <v>3408014980</v>
      </c>
      <c r="E30" s="24" t="s">
        <v>1767</v>
      </c>
      <c r="F30" s="25" t="s">
        <v>1768</v>
      </c>
      <c r="G30" s="22" t="s">
        <v>1769</v>
      </c>
      <c r="H30" s="28" t="s">
        <v>640</v>
      </c>
      <c r="I30" s="28" t="s">
        <v>49</v>
      </c>
      <c r="J30" s="22" t="s">
        <v>37</v>
      </c>
      <c r="K30" s="146">
        <v>3.27</v>
      </c>
      <c r="L30" s="146"/>
      <c r="M30" s="146"/>
      <c r="N30" s="36">
        <v>0.3</v>
      </c>
      <c r="O30" s="37">
        <f t="shared" si="1"/>
        <v>7651800</v>
      </c>
    </row>
    <row r="31" spans="1:15" ht="22.5" customHeight="1" x14ac:dyDescent="0.35">
      <c r="A31" s="33">
        <v>21</v>
      </c>
      <c r="B31" s="34" t="s">
        <v>1770</v>
      </c>
      <c r="C31" s="22" t="s">
        <v>21</v>
      </c>
      <c r="D31" s="23" t="s">
        <v>1771</v>
      </c>
      <c r="E31" s="24" t="s">
        <v>1772</v>
      </c>
      <c r="F31" s="25" t="s">
        <v>1773</v>
      </c>
      <c r="G31" s="22" t="s">
        <v>1774</v>
      </c>
      <c r="H31" s="28" t="s">
        <v>640</v>
      </c>
      <c r="I31" s="28" t="s">
        <v>49</v>
      </c>
      <c r="J31" s="22" t="s">
        <v>37</v>
      </c>
      <c r="K31" s="146">
        <v>3.27</v>
      </c>
      <c r="L31" s="146"/>
      <c r="M31" s="146"/>
      <c r="N31" s="36">
        <v>0.3</v>
      </c>
      <c r="O31" s="37">
        <f t="shared" si="1"/>
        <v>7651800</v>
      </c>
    </row>
    <row r="32" spans="1:15" ht="22.5" customHeight="1" x14ac:dyDescent="0.35">
      <c r="A32" s="33">
        <v>22</v>
      </c>
      <c r="B32" s="34" t="s">
        <v>1775</v>
      </c>
      <c r="C32" s="22" t="s">
        <v>21</v>
      </c>
      <c r="D32" s="45">
        <v>3414007451</v>
      </c>
      <c r="E32" s="40" t="s">
        <v>1776</v>
      </c>
      <c r="F32" s="41" t="s">
        <v>1777</v>
      </c>
      <c r="G32" s="22" t="s">
        <v>122</v>
      </c>
      <c r="H32" s="28" t="s">
        <v>640</v>
      </c>
      <c r="I32" s="28" t="s">
        <v>49</v>
      </c>
      <c r="J32" s="22" t="s">
        <v>37</v>
      </c>
      <c r="K32" s="146">
        <v>3.27</v>
      </c>
      <c r="L32" s="146"/>
      <c r="M32" s="146"/>
      <c r="N32" s="36">
        <v>0.3</v>
      </c>
      <c r="O32" s="37">
        <f t="shared" si="1"/>
        <v>7651800</v>
      </c>
    </row>
    <row r="33" spans="1:15" ht="22.5" customHeight="1" x14ac:dyDescent="0.35">
      <c r="A33" s="33">
        <v>23</v>
      </c>
      <c r="B33" s="34" t="s">
        <v>1778</v>
      </c>
      <c r="C33" s="22" t="s">
        <v>21</v>
      </c>
      <c r="D33" s="23" t="s">
        <v>1779</v>
      </c>
      <c r="E33" s="24" t="s">
        <v>1780</v>
      </c>
      <c r="F33" s="25" t="s">
        <v>1781</v>
      </c>
      <c r="G33" s="22" t="s">
        <v>563</v>
      </c>
      <c r="H33" s="28" t="s">
        <v>640</v>
      </c>
      <c r="I33" s="28" t="s">
        <v>49</v>
      </c>
      <c r="J33" s="22" t="s">
        <v>63</v>
      </c>
      <c r="K33" s="146">
        <v>2.96</v>
      </c>
      <c r="L33" s="146"/>
      <c r="M33" s="146"/>
      <c r="N33" s="36">
        <v>0.3</v>
      </c>
      <c r="O33" s="37">
        <f t="shared" si="1"/>
        <v>6926400</v>
      </c>
    </row>
    <row r="34" spans="1:15" ht="22.5" customHeight="1" x14ac:dyDescent="0.35">
      <c r="A34" s="33">
        <v>24</v>
      </c>
      <c r="B34" s="34" t="s">
        <v>1782</v>
      </c>
      <c r="C34" s="22" t="s">
        <v>21</v>
      </c>
      <c r="D34" s="23" t="s">
        <v>1783</v>
      </c>
      <c r="E34" s="24">
        <v>33887</v>
      </c>
      <c r="F34" s="25" t="s">
        <v>1784</v>
      </c>
      <c r="G34" s="22" t="s">
        <v>1785</v>
      </c>
      <c r="H34" s="28" t="s">
        <v>1786</v>
      </c>
      <c r="I34" s="28" t="s">
        <v>1787</v>
      </c>
      <c r="J34" s="22" t="s">
        <v>356</v>
      </c>
      <c r="K34" s="146">
        <v>1.99</v>
      </c>
      <c r="L34" s="146"/>
      <c r="M34" s="146">
        <v>0.1</v>
      </c>
      <c r="N34" s="36">
        <v>0.3</v>
      </c>
      <c r="O34" s="37">
        <f t="shared" si="1"/>
        <v>4890600</v>
      </c>
    </row>
    <row r="35" spans="1:15" ht="22.5" customHeight="1" x14ac:dyDescent="0.35">
      <c r="A35" s="46"/>
      <c r="B35" s="137" t="s">
        <v>1788</v>
      </c>
      <c r="C35" s="35"/>
      <c r="D35" s="49"/>
      <c r="E35" s="115"/>
      <c r="F35" s="50"/>
      <c r="G35" s="39"/>
      <c r="H35" s="55"/>
      <c r="I35" s="55"/>
      <c r="J35" s="39"/>
      <c r="K35" s="147"/>
      <c r="L35" s="147"/>
      <c r="M35" s="147"/>
      <c r="N35" s="52"/>
      <c r="O35" s="53"/>
    </row>
    <row r="36" spans="1:15" ht="22.5" customHeight="1" x14ac:dyDescent="0.35">
      <c r="A36" s="33">
        <v>25</v>
      </c>
      <c r="B36" s="34" t="s">
        <v>1789</v>
      </c>
      <c r="C36" s="28"/>
      <c r="D36" s="23" t="s">
        <v>1790</v>
      </c>
      <c r="E36" s="24" t="s">
        <v>1791</v>
      </c>
      <c r="F36" s="25" t="s">
        <v>1792</v>
      </c>
      <c r="G36" s="22" t="s">
        <v>1759</v>
      </c>
      <c r="H36" s="28" t="s">
        <v>1793</v>
      </c>
      <c r="I36" s="28" t="s">
        <v>27</v>
      </c>
      <c r="J36" s="28" t="s">
        <v>28</v>
      </c>
      <c r="K36" s="148">
        <v>4.33</v>
      </c>
      <c r="L36" s="148">
        <v>0.5</v>
      </c>
      <c r="M36" s="148"/>
      <c r="N36" s="36">
        <v>0.3</v>
      </c>
      <c r="O36" s="37">
        <f>(K36+L36+M36)*2340000+(L36*2340000)</f>
        <v>12472200</v>
      </c>
    </row>
    <row r="37" spans="1:15" ht="22.5" customHeight="1" x14ac:dyDescent="0.35">
      <c r="A37" s="33">
        <v>26</v>
      </c>
      <c r="B37" s="34" t="s">
        <v>1794</v>
      </c>
      <c r="C37" s="22" t="s">
        <v>21</v>
      </c>
      <c r="D37" s="23" t="s">
        <v>1795</v>
      </c>
      <c r="E37" s="24" t="s">
        <v>1796</v>
      </c>
      <c r="F37" s="25" t="s">
        <v>1797</v>
      </c>
      <c r="G37" s="22" t="s">
        <v>1059</v>
      </c>
      <c r="H37" s="28" t="s">
        <v>1798</v>
      </c>
      <c r="I37" s="28" t="s">
        <v>27</v>
      </c>
      <c r="J37" s="22" t="s">
        <v>35</v>
      </c>
      <c r="K37" s="146" t="s">
        <v>36</v>
      </c>
      <c r="L37" s="146">
        <v>0.3</v>
      </c>
      <c r="M37" s="146"/>
      <c r="N37" s="36">
        <v>0.3</v>
      </c>
      <c r="O37" s="37" t="e">
        <f t="shared" ref="O37:O43" si="2">(K37+L37+M37)*2340000</f>
        <v>#VALUE!</v>
      </c>
    </row>
    <row r="38" spans="1:15" ht="22.5" customHeight="1" x14ac:dyDescent="0.35">
      <c r="A38" s="33">
        <v>27</v>
      </c>
      <c r="B38" s="34" t="s">
        <v>1799</v>
      </c>
      <c r="C38" s="22"/>
      <c r="D38" s="23" t="s">
        <v>1800</v>
      </c>
      <c r="E38" s="24" t="s">
        <v>1801</v>
      </c>
      <c r="F38" s="25" t="s">
        <v>1802</v>
      </c>
      <c r="G38" s="22" t="s">
        <v>1803</v>
      </c>
      <c r="H38" s="28" t="s">
        <v>1798</v>
      </c>
      <c r="I38" s="28" t="s">
        <v>27</v>
      </c>
      <c r="J38" s="22" t="s">
        <v>35</v>
      </c>
      <c r="K38" s="146" t="s">
        <v>36</v>
      </c>
      <c r="L38" s="146">
        <v>0.3</v>
      </c>
      <c r="M38" s="146"/>
      <c r="N38" s="36">
        <v>0.3</v>
      </c>
      <c r="O38" s="37" t="e">
        <f t="shared" si="2"/>
        <v>#VALUE!</v>
      </c>
    </row>
    <row r="39" spans="1:15" ht="22.5" customHeight="1" x14ac:dyDescent="0.35">
      <c r="A39" s="33">
        <v>28</v>
      </c>
      <c r="B39" s="34" t="s">
        <v>1804</v>
      </c>
      <c r="C39" s="35"/>
      <c r="D39" s="54" t="s">
        <v>1805</v>
      </c>
      <c r="E39" s="40" t="s">
        <v>1806</v>
      </c>
      <c r="F39" s="41" t="s">
        <v>1807</v>
      </c>
      <c r="G39" s="22" t="s">
        <v>1808</v>
      </c>
      <c r="H39" s="28" t="s">
        <v>1809</v>
      </c>
      <c r="I39" s="28" t="s">
        <v>27</v>
      </c>
      <c r="J39" s="22" t="s">
        <v>37</v>
      </c>
      <c r="K39" s="146">
        <v>3.27</v>
      </c>
      <c r="L39" s="146"/>
      <c r="M39" s="146"/>
      <c r="N39" s="36">
        <v>0.3</v>
      </c>
      <c r="O39" s="37">
        <f t="shared" si="2"/>
        <v>7651800</v>
      </c>
    </row>
    <row r="40" spans="1:15" ht="22.5" customHeight="1" x14ac:dyDescent="0.35">
      <c r="A40" s="33">
        <v>29</v>
      </c>
      <c r="B40" s="34" t="s">
        <v>1810</v>
      </c>
      <c r="C40" s="28"/>
      <c r="D40" s="23" t="s">
        <v>1811</v>
      </c>
      <c r="E40" s="24" t="s">
        <v>1812</v>
      </c>
      <c r="F40" s="25" t="s">
        <v>1813</v>
      </c>
      <c r="G40" s="22" t="s">
        <v>1814</v>
      </c>
      <c r="H40" s="28" t="s">
        <v>1809</v>
      </c>
      <c r="I40" s="28" t="s">
        <v>27</v>
      </c>
      <c r="J40" s="28" t="s">
        <v>90</v>
      </c>
      <c r="K40" s="148">
        <v>2.65</v>
      </c>
      <c r="L40" s="148"/>
      <c r="M40" s="148"/>
      <c r="N40" s="36">
        <v>0.3</v>
      </c>
      <c r="O40" s="37">
        <f t="shared" si="2"/>
        <v>6201000</v>
      </c>
    </row>
    <row r="41" spans="1:15" ht="22.5" customHeight="1" x14ac:dyDescent="0.35">
      <c r="A41" s="33">
        <v>30</v>
      </c>
      <c r="B41" s="34" t="s">
        <v>1815</v>
      </c>
      <c r="C41" s="28" t="s">
        <v>21</v>
      </c>
      <c r="D41" s="54" t="s">
        <v>1816</v>
      </c>
      <c r="E41" s="40">
        <v>37087</v>
      </c>
      <c r="F41" s="41" t="s">
        <v>1817</v>
      </c>
      <c r="G41" s="22" t="s">
        <v>1818</v>
      </c>
      <c r="H41" s="28" t="s">
        <v>1819</v>
      </c>
      <c r="I41" s="28" t="s">
        <v>27</v>
      </c>
      <c r="J41" s="28" t="s">
        <v>155</v>
      </c>
      <c r="K41" s="148">
        <v>2.34</v>
      </c>
      <c r="L41" s="148"/>
      <c r="M41" s="148"/>
      <c r="N41" s="36">
        <v>0.3</v>
      </c>
      <c r="O41" s="37">
        <f t="shared" si="2"/>
        <v>5475600</v>
      </c>
    </row>
    <row r="42" spans="1:15" ht="22.5" customHeight="1" x14ac:dyDescent="0.35">
      <c r="A42" s="33">
        <v>31</v>
      </c>
      <c r="B42" s="34" t="s">
        <v>1820</v>
      </c>
      <c r="C42" s="28"/>
      <c r="D42" s="23" t="s">
        <v>1821</v>
      </c>
      <c r="E42" s="24" t="s">
        <v>1822</v>
      </c>
      <c r="F42" s="25" t="s">
        <v>1823</v>
      </c>
      <c r="G42" s="28" t="s">
        <v>1824</v>
      </c>
      <c r="H42" s="28" t="s">
        <v>1825</v>
      </c>
      <c r="I42" s="28" t="s">
        <v>1826</v>
      </c>
      <c r="J42" s="28" t="s">
        <v>1827</v>
      </c>
      <c r="K42" s="148" t="s">
        <v>1828</v>
      </c>
      <c r="L42" s="148"/>
      <c r="M42" s="148"/>
      <c r="N42" s="36">
        <v>0.3</v>
      </c>
      <c r="O42" s="37" t="e">
        <f t="shared" si="2"/>
        <v>#VALUE!</v>
      </c>
    </row>
    <row r="43" spans="1:15" ht="22.5" customHeight="1" x14ac:dyDescent="0.35">
      <c r="A43" s="33">
        <v>32</v>
      </c>
      <c r="B43" s="34" t="s">
        <v>1829</v>
      </c>
      <c r="C43" s="28" t="s">
        <v>21</v>
      </c>
      <c r="D43" s="42">
        <v>2606009487</v>
      </c>
      <c r="E43" s="24" t="s">
        <v>1830</v>
      </c>
      <c r="F43" s="25" t="s">
        <v>1831</v>
      </c>
      <c r="G43" s="22" t="s">
        <v>1413</v>
      </c>
      <c r="H43" s="28" t="s">
        <v>1809</v>
      </c>
      <c r="I43" s="28" t="s">
        <v>27</v>
      </c>
      <c r="J43" s="28" t="s">
        <v>198</v>
      </c>
      <c r="K43" s="148" t="s">
        <v>622</v>
      </c>
      <c r="L43" s="148"/>
      <c r="M43" s="148"/>
      <c r="N43" s="36">
        <v>0.3</v>
      </c>
      <c r="O43" s="37" t="e">
        <f t="shared" si="2"/>
        <v>#VALUE!</v>
      </c>
    </row>
    <row r="44" spans="1:15" ht="22.5" customHeight="1" x14ac:dyDescent="0.35">
      <c r="A44" s="46"/>
      <c r="B44" s="137" t="s">
        <v>1832</v>
      </c>
      <c r="C44" s="55"/>
      <c r="D44" s="49"/>
      <c r="E44" s="49"/>
      <c r="F44" s="50"/>
      <c r="G44" s="39"/>
      <c r="H44" s="55"/>
      <c r="I44" s="55"/>
      <c r="J44" s="52"/>
      <c r="K44" s="151"/>
      <c r="L44" s="151"/>
      <c r="M44" s="151"/>
      <c r="N44" s="52"/>
      <c r="O44" s="53"/>
    </row>
    <row r="45" spans="1:15" ht="22.5" customHeight="1" x14ac:dyDescent="0.35">
      <c r="A45" s="33">
        <v>33</v>
      </c>
      <c r="B45" s="34" t="s">
        <v>1833</v>
      </c>
      <c r="C45" s="22"/>
      <c r="D45" s="42">
        <v>2696021088</v>
      </c>
      <c r="E45" s="24" t="s">
        <v>1834</v>
      </c>
      <c r="F45" s="25" t="s">
        <v>1835</v>
      </c>
      <c r="G45" s="22" t="s">
        <v>734</v>
      </c>
      <c r="H45" s="139" t="s">
        <v>1836</v>
      </c>
      <c r="I45" s="28" t="s">
        <v>27</v>
      </c>
      <c r="J45" s="28" t="s">
        <v>219</v>
      </c>
      <c r="K45" s="148">
        <v>4.99</v>
      </c>
      <c r="L45" s="148">
        <v>0.5</v>
      </c>
      <c r="M45" s="148"/>
      <c r="N45" s="36">
        <v>0.3</v>
      </c>
      <c r="O45" s="37">
        <f>(K45+L45+M45)*2340000+(L45*2340000)</f>
        <v>14016600</v>
      </c>
    </row>
    <row r="46" spans="1:15" ht="22.5" customHeight="1" x14ac:dyDescent="0.35">
      <c r="A46" s="33">
        <v>34</v>
      </c>
      <c r="B46" s="34" t="s">
        <v>1837</v>
      </c>
      <c r="C46" s="28"/>
      <c r="D46" s="42">
        <v>2601002228</v>
      </c>
      <c r="E46" s="24" t="s">
        <v>1838</v>
      </c>
      <c r="F46" s="25" t="s">
        <v>1839</v>
      </c>
      <c r="G46" s="22" t="s">
        <v>578</v>
      </c>
      <c r="H46" s="139" t="s">
        <v>1840</v>
      </c>
      <c r="I46" s="28" t="s">
        <v>27</v>
      </c>
      <c r="J46" s="28" t="s">
        <v>28</v>
      </c>
      <c r="K46" s="148">
        <v>4.33</v>
      </c>
      <c r="L46" s="148">
        <v>0.3</v>
      </c>
      <c r="M46" s="148"/>
      <c r="N46" s="36">
        <v>0.3</v>
      </c>
      <c r="O46" s="37">
        <f t="shared" ref="O46:O53" si="3">(K46+L46+M46)*2340000</f>
        <v>10834200</v>
      </c>
    </row>
    <row r="47" spans="1:15" ht="22.5" customHeight="1" x14ac:dyDescent="0.35">
      <c r="A47" s="33">
        <v>35</v>
      </c>
      <c r="B47" s="34" t="s">
        <v>1841</v>
      </c>
      <c r="C47" s="28" t="s">
        <v>21</v>
      </c>
      <c r="D47" s="23" t="s">
        <v>1842</v>
      </c>
      <c r="E47" s="24" t="s">
        <v>1843</v>
      </c>
      <c r="F47" s="25" t="s">
        <v>1844</v>
      </c>
      <c r="G47" s="22" t="s">
        <v>1845</v>
      </c>
      <c r="H47" s="139" t="s">
        <v>1840</v>
      </c>
      <c r="I47" s="28" t="s">
        <v>27</v>
      </c>
      <c r="J47" s="28" t="s">
        <v>35</v>
      </c>
      <c r="K47" s="148" t="s">
        <v>36</v>
      </c>
      <c r="L47" s="148">
        <v>0.3</v>
      </c>
      <c r="M47" s="148"/>
      <c r="N47" s="36">
        <v>0.3</v>
      </c>
      <c r="O47" s="37" t="e">
        <f t="shared" si="3"/>
        <v>#VALUE!</v>
      </c>
    </row>
    <row r="48" spans="1:15" ht="22.5" customHeight="1" x14ac:dyDescent="0.35">
      <c r="A48" s="33">
        <v>36</v>
      </c>
      <c r="B48" s="34" t="s">
        <v>1846</v>
      </c>
      <c r="C48" s="28" t="s">
        <v>21</v>
      </c>
      <c r="D48" s="23" t="s">
        <v>1847</v>
      </c>
      <c r="E48" s="24" t="s">
        <v>1848</v>
      </c>
      <c r="F48" s="25" t="s">
        <v>1849</v>
      </c>
      <c r="G48" s="22" t="s">
        <v>1759</v>
      </c>
      <c r="H48" s="28" t="s">
        <v>1850</v>
      </c>
      <c r="I48" s="28" t="s">
        <v>27</v>
      </c>
      <c r="J48" s="28" t="s">
        <v>37</v>
      </c>
      <c r="K48" s="148">
        <v>3.27</v>
      </c>
      <c r="L48" s="148"/>
      <c r="M48" s="148"/>
      <c r="N48" s="36">
        <v>0.3</v>
      </c>
      <c r="O48" s="37">
        <f t="shared" si="3"/>
        <v>7651800</v>
      </c>
    </row>
    <row r="49" spans="1:15" ht="22.5" customHeight="1" x14ac:dyDescent="0.35">
      <c r="A49" s="33">
        <v>37</v>
      </c>
      <c r="B49" s="34" t="s">
        <v>1851</v>
      </c>
      <c r="C49" s="35" t="s">
        <v>21</v>
      </c>
      <c r="D49" s="23" t="s">
        <v>1852</v>
      </c>
      <c r="E49" s="24" t="s">
        <v>1853</v>
      </c>
      <c r="F49" s="25" t="s">
        <v>1854</v>
      </c>
      <c r="G49" s="22" t="s">
        <v>1855</v>
      </c>
      <c r="H49" s="28" t="s">
        <v>1850</v>
      </c>
      <c r="I49" s="28" t="s">
        <v>27</v>
      </c>
      <c r="J49" s="22" t="s">
        <v>155</v>
      </c>
      <c r="K49" s="146">
        <v>2.34</v>
      </c>
      <c r="L49" s="146"/>
      <c r="M49" s="146"/>
      <c r="N49" s="36">
        <v>0.3</v>
      </c>
      <c r="O49" s="37">
        <f t="shared" si="3"/>
        <v>5475600</v>
      </c>
    </row>
    <row r="50" spans="1:15" ht="22.5" customHeight="1" x14ac:dyDescent="0.35">
      <c r="A50" s="33">
        <v>38</v>
      </c>
      <c r="B50" s="34" t="s">
        <v>1856</v>
      </c>
      <c r="C50" s="35"/>
      <c r="D50" s="23" t="s">
        <v>1857</v>
      </c>
      <c r="E50" s="24">
        <v>35429</v>
      </c>
      <c r="F50" s="25" t="s">
        <v>1858</v>
      </c>
      <c r="G50" s="22" t="s">
        <v>154</v>
      </c>
      <c r="H50" s="28" t="s">
        <v>1850</v>
      </c>
      <c r="I50" s="28" t="s">
        <v>27</v>
      </c>
      <c r="J50" s="22" t="s">
        <v>155</v>
      </c>
      <c r="K50" s="146">
        <v>2.34</v>
      </c>
      <c r="L50" s="146"/>
      <c r="M50" s="146"/>
      <c r="N50" s="36">
        <v>0.3</v>
      </c>
      <c r="O50" s="37">
        <f t="shared" si="3"/>
        <v>5475600</v>
      </c>
    </row>
    <row r="51" spans="1:15" ht="22.5" customHeight="1" x14ac:dyDescent="0.35">
      <c r="A51" s="33">
        <v>39</v>
      </c>
      <c r="B51" s="34" t="s">
        <v>1859</v>
      </c>
      <c r="C51" s="35"/>
      <c r="D51" s="54" t="s">
        <v>1860</v>
      </c>
      <c r="E51" s="40" t="s">
        <v>1861</v>
      </c>
      <c r="F51" s="41" t="s">
        <v>1862</v>
      </c>
      <c r="G51" s="22" t="s">
        <v>1451</v>
      </c>
      <c r="H51" s="28" t="s">
        <v>1850</v>
      </c>
      <c r="I51" s="28" t="s">
        <v>27</v>
      </c>
      <c r="J51" s="22" t="s">
        <v>63</v>
      </c>
      <c r="K51" s="146">
        <v>2.96</v>
      </c>
      <c r="L51" s="146"/>
      <c r="M51" s="146"/>
      <c r="N51" s="36">
        <v>0.3</v>
      </c>
      <c r="O51" s="37">
        <f t="shared" si="3"/>
        <v>6926400</v>
      </c>
    </row>
    <row r="52" spans="1:15" ht="22.5" customHeight="1" x14ac:dyDescent="0.35">
      <c r="A52" s="33">
        <v>40</v>
      </c>
      <c r="B52" s="34" t="s">
        <v>1863</v>
      </c>
      <c r="C52" s="35"/>
      <c r="D52" s="54" t="s">
        <v>1864</v>
      </c>
      <c r="E52" s="40" t="s">
        <v>1865</v>
      </c>
      <c r="F52" s="41" t="s">
        <v>1866</v>
      </c>
      <c r="G52" s="22" t="s">
        <v>1867</v>
      </c>
      <c r="H52" s="28" t="s">
        <v>1850</v>
      </c>
      <c r="I52" s="28" t="s">
        <v>27</v>
      </c>
      <c r="J52" s="22" t="s">
        <v>90</v>
      </c>
      <c r="K52" s="146">
        <v>2.65</v>
      </c>
      <c r="L52" s="146"/>
      <c r="M52" s="146"/>
      <c r="N52" s="36">
        <v>0.3</v>
      </c>
      <c r="O52" s="37">
        <f t="shared" si="3"/>
        <v>6201000</v>
      </c>
    </row>
    <row r="53" spans="1:15" ht="22.5" customHeight="1" x14ac:dyDescent="0.35">
      <c r="A53" s="33">
        <v>41</v>
      </c>
      <c r="B53" s="34" t="s">
        <v>1868</v>
      </c>
      <c r="C53" s="35"/>
      <c r="D53" s="54" t="s">
        <v>1869</v>
      </c>
      <c r="E53" s="40" t="s">
        <v>1870</v>
      </c>
      <c r="F53" s="41" t="s">
        <v>1871</v>
      </c>
      <c r="G53" s="22" t="s">
        <v>322</v>
      </c>
      <c r="H53" s="28" t="s">
        <v>1850</v>
      </c>
      <c r="I53" s="28" t="s">
        <v>27</v>
      </c>
      <c r="J53" s="22" t="s">
        <v>63</v>
      </c>
      <c r="K53" s="146">
        <v>2.96</v>
      </c>
      <c r="L53" s="146"/>
      <c r="M53" s="146"/>
      <c r="N53" s="36">
        <v>0.3</v>
      </c>
      <c r="O53" s="37">
        <f t="shared" si="3"/>
        <v>6926400</v>
      </c>
    </row>
    <row r="54" spans="1:15" ht="22.5" customHeight="1" x14ac:dyDescent="0.35">
      <c r="A54" s="46"/>
      <c r="B54" s="137" t="s">
        <v>1872</v>
      </c>
      <c r="C54" s="35"/>
      <c r="D54" s="65"/>
      <c r="E54" s="65"/>
      <c r="F54" s="79"/>
      <c r="G54" s="39"/>
      <c r="H54" s="52"/>
      <c r="I54" s="52"/>
      <c r="J54" s="39"/>
      <c r="K54" s="147"/>
      <c r="L54" s="147"/>
      <c r="M54" s="147"/>
      <c r="N54" s="52"/>
      <c r="O54" s="53"/>
    </row>
    <row r="55" spans="1:15" ht="22.5" customHeight="1" x14ac:dyDescent="0.35">
      <c r="A55" s="33">
        <v>42</v>
      </c>
      <c r="B55" s="34" t="s">
        <v>1873</v>
      </c>
      <c r="C55" s="28"/>
      <c r="D55" s="23" t="s">
        <v>1874</v>
      </c>
      <c r="E55" s="24" t="s">
        <v>1875</v>
      </c>
      <c r="F55" s="25" t="s">
        <v>1876</v>
      </c>
      <c r="G55" s="22" t="s">
        <v>1025</v>
      </c>
      <c r="H55" s="28" t="s">
        <v>145</v>
      </c>
      <c r="I55" s="28" t="s">
        <v>136</v>
      </c>
      <c r="J55" s="28" t="s">
        <v>164</v>
      </c>
      <c r="K55" s="148">
        <v>4.2</v>
      </c>
      <c r="L55" s="148"/>
      <c r="M55" s="148">
        <v>0.2</v>
      </c>
      <c r="N55" s="36">
        <v>0.3</v>
      </c>
      <c r="O55" s="37">
        <f t="shared" ref="O55:O66" si="4">(K55+L55+M55)*2340000</f>
        <v>10296000</v>
      </c>
    </row>
    <row r="56" spans="1:15" ht="22.5" customHeight="1" x14ac:dyDescent="0.35">
      <c r="A56" s="33">
        <v>43</v>
      </c>
      <c r="B56" s="34" t="s">
        <v>1877</v>
      </c>
      <c r="C56" s="28"/>
      <c r="D56" s="42">
        <v>2606000071</v>
      </c>
      <c r="E56" s="24" t="s">
        <v>1878</v>
      </c>
      <c r="F56" s="25" t="s">
        <v>1879</v>
      </c>
      <c r="G56" s="22" t="s">
        <v>102</v>
      </c>
      <c r="H56" s="28" t="s">
        <v>136</v>
      </c>
      <c r="I56" s="28" t="s">
        <v>136</v>
      </c>
      <c r="J56" s="28" t="s">
        <v>160</v>
      </c>
      <c r="K56" s="148">
        <v>3.56</v>
      </c>
      <c r="L56" s="148"/>
      <c r="M56" s="148"/>
      <c r="N56" s="36">
        <v>0.3</v>
      </c>
      <c r="O56" s="37">
        <f t="shared" si="4"/>
        <v>8330400</v>
      </c>
    </row>
    <row r="57" spans="1:15" ht="22.5" customHeight="1" x14ac:dyDescent="0.35">
      <c r="A57" s="33">
        <v>44</v>
      </c>
      <c r="B57" s="34" t="s">
        <v>1880</v>
      </c>
      <c r="C57" s="140"/>
      <c r="D57" s="42">
        <v>3409023130</v>
      </c>
      <c r="E57" s="24" t="s">
        <v>1881</v>
      </c>
      <c r="F57" s="25" t="s">
        <v>1882</v>
      </c>
      <c r="G57" s="22" t="s">
        <v>1883</v>
      </c>
      <c r="H57" s="28" t="s">
        <v>136</v>
      </c>
      <c r="I57" s="28" t="s">
        <v>136</v>
      </c>
      <c r="J57" s="28" t="s">
        <v>130</v>
      </c>
      <c r="K57" s="148">
        <v>3.01</v>
      </c>
      <c r="L57" s="148"/>
      <c r="M57" s="148"/>
      <c r="N57" s="36">
        <v>0.3</v>
      </c>
      <c r="O57" s="37">
        <f t="shared" si="4"/>
        <v>7043399.9999999991</v>
      </c>
    </row>
    <row r="58" spans="1:15" ht="22.5" customHeight="1" x14ac:dyDescent="0.35">
      <c r="A58" s="33">
        <v>45</v>
      </c>
      <c r="B58" s="34" t="s">
        <v>1884</v>
      </c>
      <c r="C58" s="35"/>
      <c r="D58" s="45">
        <v>3415002025</v>
      </c>
      <c r="E58" s="40" t="s">
        <v>1885</v>
      </c>
      <c r="F58" s="41" t="s">
        <v>1886</v>
      </c>
      <c r="G58" s="22" t="s">
        <v>205</v>
      </c>
      <c r="H58" s="28" t="s">
        <v>136</v>
      </c>
      <c r="I58" s="28" t="s">
        <v>27</v>
      </c>
      <c r="J58" s="22" t="s">
        <v>63</v>
      </c>
      <c r="K58" s="146">
        <v>2.96</v>
      </c>
      <c r="L58" s="146"/>
      <c r="M58" s="146"/>
      <c r="N58" s="36">
        <v>0.3</v>
      </c>
      <c r="O58" s="37">
        <f t="shared" si="4"/>
        <v>6926400</v>
      </c>
    </row>
    <row r="59" spans="1:15" ht="22.5" customHeight="1" x14ac:dyDescent="0.35">
      <c r="A59" s="33">
        <v>46</v>
      </c>
      <c r="B59" s="34" t="s">
        <v>1887</v>
      </c>
      <c r="C59" s="35"/>
      <c r="D59" s="45">
        <v>3415009239</v>
      </c>
      <c r="E59" s="40" t="s">
        <v>1888</v>
      </c>
      <c r="F59" s="41" t="s">
        <v>1889</v>
      </c>
      <c r="G59" s="22" t="s">
        <v>1890</v>
      </c>
      <c r="H59" s="28" t="s">
        <v>136</v>
      </c>
      <c r="I59" s="28" t="s">
        <v>27</v>
      </c>
      <c r="J59" s="22" t="s">
        <v>63</v>
      </c>
      <c r="K59" s="146">
        <v>2.96</v>
      </c>
      <c r="L59" s="146"/>
      <c r="M59" s="146"/>
      <c r="N59" s="36">
        <v>0.3</v>
      </c>
      <c r="O59" s="37">
        <f t="shared" si="4"/>
        <v>6926400</v>
      </c>
    </row>
    <row r="60" spans="1:15" ht="22.5" customHeight="1" x14ac:dyDescent="0.35">
      <c r="A60" s="33">
        <v>47</v>
      </c>
      <c r="B60" s="34" t="s">
        <v>1891</v>
      </c>
      <c r="C60" s="28"/>
      <c r="D60" s="42">
        <v>2696028719</v>
      </c>
      <c r="E60" s="24" t="s">
        <v>1892</v>
      </c>
      <c r="F60" s="25" t="s">
        <v>1893</v>
      </c>
      <c r="G60" s="22" t="s">
        <v>1472</v>
      </c>
      <c r="H60" s="28" t="s">
        <v>136</v>
      </c>
      <c r="I60" s="28" t="s">
        <v>136</v>
      </c>
      <c r="J60" s="28" t="s">
        <v>160</v>
      </c>
      <c r="K60" s="148">
        <v>3.56</v>
      </c>
      <c r="L60" s="148"/>
      <c r="M60" s="148"/>
      <c r="N60" s="36">
        <v>0.3</v>
      </c>
      <c r="O60" s="37">
        <f t="shared" si="4"/>
        <v>8330400</v>
      </c>
    </row>
    <row r="61" spans="1:15" ht="22.5" customHeight="1" x14ac:dyDescent="0.35">
      <c r="A61" s="33">
        <v>48</v>
      </c>
      <c r="B61" s="34" t="s">
        <v>1894</v>
      </c>
      <c r="C61" s="35"/>
      <c r="D61" s="54" t="s">
        <v>1895</v>
      </c>
      <c r="E61" s="40" t="s">
        <v>1896</v>
      </c>
      <c r="F61" s="41" t="s">
        <v>1897</v>
      </c>
      <c r="G61" s="22" t="s">
        <v>296</v>
      </c>
      <c r="H61" s="28" t="s">
        <v>136</v>
      </c>
      <c r="I61" s="28" t="s">
        <v>1898</v>
      </c>
      <c r="J61" s="22" t="s">
        <v>90</v>
      </c>
      <c r="K61" s="146">
        <v>2.65</v>
      </c>
      <c r="L61" s="146"/>
      <c r="M61" s="146"/>
      <c r="N61" s="36">
        <v>0.3</v>
      </c>
      <c r="O61" s="37">
        <f t="shared" si="4"/>
        <v>6201000</v>
      </c>
    </row>
    <row r="62" spans="1:15" ht="22.5" customHeight="1" x14ac:dyDescent="0.35">
      <c r="A62" s="33">
        <v>49</v>
      </c>
      <c r="B62" s="34" t="s">
        <v>1899</v>
      </c>
      <c r="C62" s="35"/>
      <c r="D62" s="23" t="s">
        <v>1900</v>
      </c>
      <c r="E62" s="24" t="s">
        <v>1901</v>
      </c>
      <c r="F62" s="25" t="s">
        <v>1902</v>
      </c>
      <c r="G62" s="22" t="s">
        <v>854</v>
      </c>
      <c r="H62" s="28" t="s">
        <v>136</v>
      </c>
      <c r="I62" s="28" t="s">
        <v>136</v>
      </c>
      <c r="J62" s="22" t="s">
        <v>175</v>
      </c>
      <c r="K62" s="146">
        <v>2.5499999999999998</v>
      </c>
      <c r="L62" s="146"/>
      <c r="M62" s="146"/>
      <c r="N62" s="36">
        <v>0.3</v>
      </c>
      <c r="O62" s="37">
        <f t="shared" si="4"/>
        <v>5967000</v>
      </c>
    </row>
    <row r="63" spans="1:15" ht="22.5" customHeight="1" x14ac:dyDescent="0.35">
      <c r="A63" s="33">
        <v>50</v>
      </c>
      <c r="B63" s="34" t="s">
        <v>1903</v>
      </c>
      <c r="C63" s="35"/>
      <c r="D63" s="23" t="s">
        <v>1904</v>
      </c>
      <c r="E63" s="24" t="s">
        <v>1905</v>
      </c>
      <c r="F63" s="25" t="s">
        <v>1906</v>
      </c>
      <c r="G63" s="22" t="s">
        <v>1907</v>
      </c>
      <c r="H63" s="28" t="s">
        <v>136</v>
      </c>
      <c r="I63" s="28" t="s">
        <v>136</v>
      </c>
      <c r="J63" s="22" t="s">
        <v>137</v>
      </c>
      <c r="K63" s="146">
        <v>2.16</v>
      </c>
      <c r="L63" s="146"/>
      <c r="M63" s="146"/>
      <c r="N63" s="36">
        <v>0.3</v>
      </c>
      <c r="O63" s="37">
        <f t="shared" si="4"/>
        <v>5054400</v>
      </c>
    </row>
    <row r="64" spans="1:15" ht="22.5" customHeight="1" x14ac:dyDescent="0.35">
      <c r="A64" s="33">
        <v>51</v>
      </c>
      <c r="B64" s="34" t="s">
        <v>1908</v>
      </c>
      <c r="C64" s="22"/>
      <c r="D64" s="23" t="s">
        <v>1909</v>
      </c>
      <c r="E64" s="24">
        <v>26800</v>
      </c>
      <c r="F64" s="25" t="s">
        <v>1910</v>
      </c>
      <c r="G64" s="22" t="s">
        <v>89</v>
      </c>
      <c r="H64" s="28" t="s">
        <v>136</v>
      </c>
      <c r="I64" s="28" t="s">
        <v>136</v>
      </c>
      <c r="J64" s="22" t="s">
        <v>175</v>
      </c>
      <c r="K64" s="146">
        <v>2.5499999999999998</v>
      </c>
      <c r="L64" s="146"/>
      <c r="M64" s="146"/>
      <c r="N64" s="36">
        <v>0.3</v>
      </c>
      <c r="O64" s="37">
        <f t="shared" si="4"/>
        <v>5967000</v>
      </c>
    </row>
    <row r="65" spans="1:15" ht="22.5" customHeight="1" x14ac:dyDescent="0.35">
      <c r="A65" s="33">
        <v>52</v>
      </c>
      <c r="B65" s="34" t="s">
        <v>1911</v>
      </c>
      <c r="C65" s="22"/>
      <c r="D65" s="23" t="s">
        <v>1912</v>
      </c>
      <c r="E65" s="24">
        <v>34157</v>
      </c>
      <c r="F65" s="25" t="s">
        <v>1913</v>
      </c>
      <c r="G65" s="22" t="s">
        <v>347</v>
      </c>
      <c r="H65" s="28" t="s">
        <v>136</v>
      </c>
      <c r="I65" s="28" t="s">
        <v>136</v>
      </c>
      <c r="J65" s="22" t="s">
        <v>137</v>
      </c>
      <c r="K65" s="146">
        <v>2.16</v>
      </c>
      <c r="L65" s="146"/>
      <c r="M65" s="146"/>
      <c r="N65" s="36">
        <v>0.3</v>
      </c>
      <c r="O65" s="37">
        <f t="shared" si="4"/>
        <v>5054400</v>
      </c>
    </row>
    <row r="66" spans="1:15" ht="22.5" customHeight="1" x14ac:dyDescent="0.35">
      <c r="A66" s="33">
        <v>53</v>
      </c>
      <c r="B66" s="34" t="s">
        <v>1914</v>
      </c>
      <c r="C66" s="28"/>
      <c r="D66" s="42">
        <v>2606009486</v>
      </c>
      <c r="E66" s="24" t="s">
        <v>1915</v>
      </c>
      <c r="F66" s="25" t="s">
        <v>1916</v>
      </c>
      <c r="G66" s="22" t="s">
        <v>1917</v>
      </c>
      <c r="H66" s="28" t="s">
        <v>136</v>
      </c>
      <c r="I66" s="28" t="s">
        <v>136</v>
      </c>
      <c r="J66" s="28" t="s">
        <v>160</v>
      </c>
      <c r="K66" s="148">
        <v>3.56</v>
      </c>
      <c r="L66" s="148"/>
      <c r="M66" s="148"/>
      <c r="N66" s="36">
        <v>0.3</v>
      </c>
      <c r="O66" s="37">
        <f t="shared" si="4"/>
        <v>8330400</v>
      </c>
    </row>
    <row r="67" spans="1:15" ht="22.5" customHeight="1" x14ac:dyDescent="0.35">
      <c r="A67" s="46"/>
      <c r="B67" s="137" t="s">
        <v>1918</v>
      </c>
      <c r="C67" s="55"/>
      <c r="D67" s="49"/>
      <c r="E67" s="49"/>
      <c r="F67" s="50"/>
      <c r="G67" s="39"/>
      <c r="H67" s="55"/>
      <c r="I67" s="55"/>
      <c r="J67" s="52"/>
      <c r="K67" s="151"/>
      <c r="L67" s="151"/>
      <c r="M67" s="151"/>
      <c r="N67" s="52"/>
      <c r="O67" s="53"/>
    </row>
    <row r="68" spans="1:15" ht="22.5" customHeight="1" x14ac:dyDescent="0.35">
      <c r="A68" s="33">
        <v>54</v>
      </c>
      <c r="B68" s="34" t="s">
        <v>1919</v>
      </c>
      <c r="C68" s="28"/>
      <c r="D68" s="23" t="s">
        <v>1920</v>
      </c>
      <c r="E68" s="24" t="s">
        <v>1921</v>
      </c>
      <c r="F68" s="25" t="s">
        <v>1922</v>
      </c>
      <c r="G68" s="22" t="s">
        <v>1923</v>
      </c>
      <c r="H68" s="28" t="s">
        <v>145</v>
      </c>
      <c r="I68" s="28" t="s">
        <v>136</v>
      </c>
      <c r="J68" s="28" t="s">
        <v>160</v>
      </c>
      <c r="K68" s="148">
        <v>3.56</v>
      </c>
      <c r="L68" s="148"/>
      <c r="M68" s="148">
        <v>0.1</v>
      </c>
      <c r="N68" s="36">
        <v>0.3</v>
      </c>
      <c r="O68" s="37">
        <f>(K68+L68+M68)*2340000</f>
        <v>8564400</v>
      </c>
    </row>
    <row r="69" spans="1:15" ht="22.5" customHeight="1" x14ac:dyDescent="0.35">
      <c r="A69" s="33">
        <v>55</v>
      </c>
      <c r="B69" s="34" t="s">
        <v>1924</v>
      </c>
      <c r="C69" s="28"/>
      <c r="D69" s="23" t="s">
        <v>1925</v>
      </c>
      <c r="E69" s="24" t="s">
        <v>1926</v>
      </c>
      <c r="F69" s="25" t="s">
        <v>1927</v>
      </c>
      <c r="G69" s="22" t="s">
        <v>1928</v>
      </c>
      <c r="H69" s="28" t="s">
        <v>136</v>
      </c>
      <c r="I69" s="28" t="s">
        <v>136</v>
      </c>
      <c r="J69" s="28" t="s">
        <v>164</v>
      </c>
      <c r="K69" s="148">
        <v>4.4000000000000004</v>
      </c>
      <c r="L69" s="148"/>
      <c r="M69" s="148"/>
      <c r="N69" s="36">
        <v>0.3</v>
      </c>
      <c r="O69" s="37">
        <f>(K69+L69+M69)*2340000</f>
        <v>10296000</v>
      </c>
    </row>
    <row r="70" spans="1:15" ht="22.5" customHeight="1" x14ac:dyDescent="0.35">
      <c r="A70" s="33">
        <v>56</v>
      </c>
      <c r="B70" s="34" t="s">
        <v>1929</v>
      </c>
      <c r="C70" s="28"/>
      <c r="D70" s="42">
        <v>2605003015</v>
      </c>
      <c r="E70" s="24" t="s">
        <v>1757</v>
      </c>
      <c r="F70" s="25" t="s">
        <v>1930</v>
      </c>
      <c r="G70" s="22" t="s">
        <v>1931</v>
      </c>
      <c r="H70" s="28" t="s">
        <v>136</v>
      </c>
      <c r="I70" s="28" t="s">
        <v>136</v>
      </c>
      <c r="J70" s="28" t="s">
        <v>160</v>
      </c>
      <c r="K70" s="148">
        <v>3.56</v>
      </c>
      <c r="L70" s="148"/>
      <c r="M70" s="148"/>
      <c r="N70" s="36">
        <v>0.3</v>
      </c>
      <c r="O70" s="37">
        <f>(K70+L70+M70)*2340000</f>
        <v>8330400</v>
      </c>
    </row>
    <row r="71" spans="1:15" ht="22.5" customHeight="1" x14ac:dyDescent="0.35">
      <c r="A71" s="33">
        <v>57</v>
      </c>
      <c r="B71" s="34" t="s">
        <v>1932</v>
      </c>
      <c r="C71" s="28"/>
      <c r="D71" s="42">
        <v>2605003599</v>
      </c>
      <c r="E71" s="24" t="s">
        <v>1933</v>
      </c>
      <c r="F71" s="25" t="s">
        <v>1934</v>
      </c>
      <c r="G71" s="22" t="s">
        <v>1935</v>
      </c>
      <c r="H71" s="28" t="s">
        <v>136</v>
      </c>
      <c r="I71" s="28" t="s">
        <v>136</v>
      </c>
      <c r="J71" s="28" t="s">
        <v>160</v>
      </c>
      <c r="K71" s="148">
        <v>3.56</v>
      </c>
      <c r="L71" s="148"/>
      <c r="M71" s="148"/>
      <c r="N71" s="36">
        <v>0.3</v>
      </c>
      <c r="O71" s="37">
        <f>(K71+L71+M71)*2340000</f>
        <v>8330400</v>
      </c>
    </row>
    <row r="72" spans="1:15" ht="22.5" customHeight="1" x14ac:dyDescent="0.35">
      <c r="A72" s="46"/>
      <c r="B72" s="137" t="s">
        <v>1936</v>
      </c>
      <c r="C72" s="55"/>
      <c r="D72" s="49"/>
      <c r="E72" s="49"/>
      <c r="F72" s="50"/>
      <c r="G72" s="39"/>
      <c r="H72" s="55"/>
      <c r="I72" s="55"/>
      <c r="J72" s="52"/>
      <c r="K72" s="151"/>
      <c r="L72" s="151"/>
      <c r="M72" s="151"/>
      <c r="N72" s="52"/>
      <c r="O72" s="53"/>
    </row>
    <row r="73" spans="1:15" ht="22.5" customHeight="1" x14ac:dyDescent="0.35">
      <c r="A73" s="33">
        <v>58</v>
      </c>
      <c r="B73" s="34" t="s">
        <v>1937</v>
      </c>
      <c r="C73" s="28"/>
      <c r="D73" s="42">
        <v>2699042355</v>
      </c>
      <c r="E73" s="24" t="s">
        <v>1938</v>
      </c>
      <c r="F73" s="25" t="s">
        <v>1939</v>
      </c>
      <c r="G73" s="22" t="s">
        <v>1940</v>
      </c>
      <c r="H73" s="28" t="s">
        <v>145</v>
      </c>
      <c r="I73" s="28" t="s">
        <v>136</v>
      </c>
      <c r="J73" s="28" t="s">
        <v>164</v>
      </c>
      <c r="K73" s="148">
        <v>4.2</v>
      </c>
      <c r="L73" s="148"/>
      <c r="M73" s="148">
        <v>0.1</v>
      </c>
      <c r="N73" s="36">
        <v>0.3</v>
      </c>
      <c r="O73" s="37">
        <f t="shared" ref="O73:O79" si="5">(K73+L73+M73)*2340000</f>
        <v>10062000</v>
      </c>
    </row>
    <row r="74" spans="1:15" ht="22.5" customHeight="1" x14ac:dyDescent="0.35">
      <c r="A74" s="33">
        <v>59</v>
      </c>
      <c r="B74" s="34" t="s">
        <v>1941</v>
      </c>
      <c r="C74" s="22"/>
      <c r="D74" s="23" t="s">
        <v>1942</v>
      </c>
      <c r="E74" s="24" t="s">
        <v>1943</v>
      </c>
      <c r="F74" s="25" t="s">
        <v>1944</v>
      </c>
      <c r="G74" s="22" t="s">
        <v>1945</v>
      </c>
      <c r="H74" s="28" t="s">
        <v>136</v>
      </c>
      <c r="I74" s="28" t="s">
        <v>136</v>
      </c>
      <c r="J74" s="28" t="s">
        <v>160</v>
      </c>
      <c r="K74" s="148">
        <v>3.56</v>
      </c>
      <c r="L74" s="146"/>
      <c r="M74" s="146"/>
      <c r="N74" s="36">
        <v>0.3</v>
      </c>
      <c r="O74" s="37">
        <f t="shared" si="5"/>
        <v>8330400</v>
      </c>
    </row>
    <row r="75" spans="1:15" ht="22.5" customHeight="1" x14ac:dyDescent="0.35">
      <c r="A75" s="33">
        <v>60</v>
      </c>
      <c r="B75" s="34" t="s">
        <v>1946</v>
      </c>
      <c r="C75" s="28"/>
      <c r="D75" s="23" t="s">
        <v>1947</v>
      </c>
      <c r="E75" s="24" t="s">
        <v>1948</v>
      </c>
      <c r="F75" s="25" t="s">
        <v>1949</v>
      </c>
      <c r="G75" s="22" t="s">
        <v>1625</v>
      </c>
      <c r="H75" s="28" t="s">
        <v>136</v>
      </c>
      <c r="I75" s="28" t="s">
        <v>136</v>
      </c>
      <c r="J75" s="28" t="s">
        <v>164</v>
      </c>
      <c r="K75" s="148">
        <v>4.2</v>
      </c>
      <c r="L75" s="148"/>
      <c r="M75" s="148"/>
      <c r="N75" s="36">
        <v>0.3</v>
      </c>
      <c r="O75" s="37">
        <f t="shared" si="5"/>
        <v>9828000</v>
      </c>
    </row>
    <row r="76" spans="1:15" ht="22.5" customHeight="1" x14ac:dyDescent="0.35">
      <c r="A76" s="33">
        <v>61</v>
      </c>
      <c r="B76" s="34" t="s">
        <v>1950</v>
      </c>
      <c r="C76" s="28"/>
      <c r="D76" s="42">
        <v>3408000223</v>
      </c>
      <c r="E76" s="24" t="s">
        <v>1951</v>
      </c>
      <c r="F76" s="25" t="s">
        <v>1952</v>
      </c>
      <c r="G76" s="22" t="s">
        <v>94</v>
      </c>
      <c r="H76" s="28" t="s">
        <v>136</v>
      </c>
      <c r="I76" s="28" t="s">
        <v>136</v>
      </c>
      <c r="J76" s="28" t="s">
        <v>160</v>
      </c>
      <c r="K76" s="148">
        <v>3.56</v>
      </c>
      <c r="L76" s="148"/>
      <c r="M76" s="148"/>
      <c r="N76" s="36">
        <v>0.3</v>
      </c>
      <c r="O76" s="37">
        <f t="shared" si="5"/>
        <v>8330400</v>
      </c>
    </row>
    <row r="77" spans="1:15" ht="22.5" customHeight="1" x14ac:dyDescent="0.35">
      <c r="A77" s="33">
        <v>62</v>
      </c>
      <c r="B77" s="34" t="s">
        <v>1953</v>
      </c>
      <c r="C77" s="35"/>
      <c r="D77" s="54" t="s">
        <v>1954</v>
      </c>
      <c r="E77" s="40" t="s">
        <v>1955</v>
      </c>
      <c r="F77" s="41" t="s">
        <v>1956</v>
      </c>
      <c r="G77" s="22" t="s">
        <v>230</v>
      </c>
      <c r="H77" s="28" t="s">
        <v>136</v>
      </c>
      <c r="I77" s="28" t="s">
        <v>136</v>
      </c>
      <c r="J77" s="22" t="s">
        <v>175</v>
      </c>
      <c r="K77" s="146">
        <v>2.5499999999999998</v>
      </c>
      <c r="L77" s="146"/>
      <c r="M77" s="146"/>
      <c r="N77" s="36">
        <v>0.3</v>
      </c>
      <c r="O77" s="37">
        <f t="shared" si="5"/>
        <v>5967000</v>
      </c>
    </row>
    <row r="78" spans="1:15" ht="22.5" customHeight="1" x14ac:dyDescent="0.35">
      <c r="A78" s="33">
        <v>63</v>
      </c>
      <c r="B78" s="34" t="s">
        <v>1957</v>
      </c>
      <c r="C78" s="22"/>
      <c r="D78" s="23" t="s">
        <v>1958</v>
      </c>
      <c r="E78" s="40" t="s">
        <v>1959</v>
      </c>
      <c r="F78" s="41" t="s">
        <v>1960</v>
      </c>
      <c r="G78" s="22" t="s">
        <v>1961</v>
      </c>
      <c r="H78" s="28" t="s">
        <v>136</v>
      </c>
      <c r="I78" s="28" t="s">
        <v>136</v>
      </c>
      <c r="J78" s="28" t="s">
        <v>130</v>
      </c>
      <c r="K78" s="148">
        <v>3.01</v>
      </c>
      <c r="L78" s="146"/>
      <c r="M78" s="146"/>
      <c r="N78" s="36">
        <v>0.3</v>
      </c>
      <c r="O78" s="37">
        <f t="shared" si="5"/>
        <v>7043399.9999999991</v>
      </c>
    </row>
    <row r="79" spans="1:15" ht="22.5" customHeight="1" x14ac:dyDescent="0.35">
      <c r="A79" s="33">
        <v>64</v>
      </c>
      <c r="B79" s="34" t="s">
        <v>1962</v>
      </c>
      <c r="C79" s="28"/>
      <c r="D79" s="42">
        <v>2605003017</v>
      </c>
      <c r="E79" s="24" t="s">
        <v>1963</v>
      </c>
      <c r="F79" s="25" t="s">
        <v>1964</v>
      </c>
      <c r="G79" s="22" t="s">
        <v>396</v>
      </c>
      <c r="H79" s="28" t="s">
        <v>136</v>
      </c>
      <c r="I79" s="28" t="s">
        <v>136</v>
      </c>
      <c r="J79" s="28" t="s">
        <v>164</v>
      </c>
      <c r="K79" s="148">
        <v>4.2</v>
      </c>
      <c r="L79" s="148"/>
      <c r="M79" s="148"/>
      <c r="N79" s="36">
        <v>0.3</v>
      </c>
      <c r="O79" s="37">
        <f t="shared" si="5"/>
        <v>9828000</v>
      </c>
    </row>
    <row r="80" spans="1:15" ht="22.5" customHeight="1" x14ac:dyDescent="0.35">
      <c r="A80" s="46"/>
      <c r="B80" s="137" t="s">
        <v>1965</v>
      </c>
      <c r="C80" s="55"/>
      <c r="D80" s="49"/>
      <c r="E80" s="49"/>
      <c r="F80" s="50"/>
      <c r="G80" s="39"/>
      <c r="H80" s="55"/>
      <c r="I80" s="55"/>
      <c r="J80" s="52"/>
      <c r="K80" s="151"/>
      <c r="L80" s="151"/>
      <c r="M80" s="151"/>
      <c r="N80" s="52"/>
      <c r="O80" s="53"/>
    </row>
    <row r="81" spans="1:15" ht="22.5" customHeight="1" x14ac:dyDescent="0.35">
      <c r="A81" s="33">
        <v>65</v>
      </c>
      <c r="B81" s="34" t="s">
        <v>1966</v>
      </c>
      <c r="C81" s="28"/>
      <c r="D81" s="23" t="s">
        <v>1967</v>
      </c>
      <c r="E81" s="24" t="s">
        <v>1968</v>
      </c>
      <c r="F81" s="25" t="s">
        <v>1969</v>
      </c>
      <c r="G81" s="22" t="s">
        <v>1923</v>
      </c>
      <c r="H81" s="28" t="s">
        <v>145</v>
      </c>
      <c r="I81" s="28" t="s">
        <v>136</v>
      </c>
      <c r="J81" s="28" t="s">
        <v>164</v>
      </c>
      <c r="K81" s="148">
        <v>4.2</v>
      </c>
      <c r="L81" s="148"/>
      <c r="M81" s="148">
        <v>0.1</v>
      </c>
      <c r="N81" s="36">
        <v>0.3</v>
      </c>
      <c r="O81" s="37">
        <f>(K81+L81+M81)*2340000</f>
        <v>10062000</v>
      </c>
    </row>
    <row r="82" spans="1:15" ht="22.5" customHeight="1" x14ac:dyDescent="0.35">
      <c r="A82" s="33">
        <v>66</v>
      </c>
      <c r="B82" s="34" t="s">
        <v>1970</v>
      </c>
      <c r="C82" s="28"/>
      <c r="D82" s="42">
        <v>4096037164</v>
      </c>
      <c r="E82" s="24" t="s">
        <v>1971</v>
      </c>
      <c r="F82" s="25" t="s">
        <v>1972</v>
      </c>
      <c r="G82" s="22" t="s">
        <v>1973</v>
      </c>
      <c r="H82" s="28" t="s">
        <v>136</v>
      </c>
      <c r="I82" s="28" t="s">
        <v>136</v>
      </c>
      <c r="J82" s="28" t="s">
        <v>164</v>
      </c>
      <c r="K82" s="148">
        <v>4.2</v>
      </c>
      <c r="L82" s="148"/>
      <c r="M82" s="148"/>
      <c r="N82" s="36">
        <v>0.3</v>
      </c>
      <c r="O82" s="37">
        <f>(K82+L82+M82)*2340000</f>
        <v>9828000</v>
      </c>
    </row>
    <row r="83" spans="1:15" ht="22.5" customHeight="1" x14ac:dyDescent="0.35">
      <c r="A83" s="33">
        <v>67</v>
      </c>
      <c r="B83" s="34" t="s">
        <v>1974</v>
      </c>
      <c r="C83" s="35"/>
      <c r="D83" s="45">
        <v>2607005868</v>
      </c>
      <c r="E83" s="40" t="s">
        <v>1975</v>
      </c>
      <c r="F83" s="41" t="s">
        <v>1976</v>
      </c>
      <c r="G83" s="22" t="s">
        <v>1977</v>
      </c>
      <c r="H83" s="28" t="s">
        <v>136</v>
      </c>
      <c r="I83" s="28" t="s">
        <v>136</v>
      </c>
      <c r="J83" s="28" t="s">
        <v>130</v>
      </c>
      <c r="K83" s="148">
        <v>3.01</v>
      </c>
      <c r="L83" s="146"/>
      <c r="M83" s="146"/>
      <c r="N83" s="36">
        <v>0.3</v>
      </c>
      <c r="O83" s="37">
        <f>(K83+L83+M83)*2340000</f>
        <v>7043399.9999999991</v>
      </c>
    </row>
    <row r="84" spans="1:15" ht="22.5" customHeight="1" x14ac:dyDescent="0.35">
      <c r="A84" s="33">
        <v>68</v>
      </c>
      <c r="B84" s="34" t="s">
        <v>1978</v>
      </c>
      <c r="C84" s="35"/>
      <c r="D84" s="42">
        <v>3415002024</v>
      </c>
      <c r="E84" s="40" t="s">
        <v>1979</v>
      </c>
      <c r="F84" s="41" t="s">
        <v>1980</v>
      </c>
      <c r="G84" s="22" t="s">
        <v>1981</v>
      </c>
      <c r="H84" s="28" t="s">
        <v>136</v>
      </c>
      <c r="I84" s="28" t="s">
        <v>1982</v>
      </c>
      <c r="J84" s="22" t="s">
        <v>37</v>
      </c>
      <c r="K84" s="146">
        <v>3.27</v>
      </c>
      <c r="L84" s="146"/>
      <c r="M84" s="146"/>
      <c r="N84" s="36">
        <v>0.3</v>
      </c>
      <c r="O84" s="37">
        <f>(K84+L84+M84)*2340000</f>
        <v>7651800</v>
      </c>
    </row>
    <row r="85" spans="1:15" ht="22.5" customHeight="1" x14ac:dyDescent="0.35">
      <c r="A85" s="33">
        <v>69</v>
      </c>
      <c r="B85" s="34" t="s">
        <v>1983</v>
      </c>
      <c r="C85" s="28"/>
      <c r="D85" s="42">
        <v>2696002864</v>
      </c>
      <c r="E85" s="24" t="s">
        <v>1984</v>
      </c>
      <c r="F85" s="25" t="s">
        <v>1985</v>
      </c>
      <c r="G85" s="22" t="s">
        <v>1986</v>
      </c>
      <c r="H85" s="28" t="s">
        <v>136</v>
      </c>
      <c r="I85" s="28" t="s">
        <v>136</v>
      </c>
      <c r="J85" s="28" t="s">
        <v>164</v>
      </c>
      <c r="K85" s="148">
        <v>4.2</v>
      </c>
      <c r="L85" s="148"/>
      <c r="M85" s="148"/>
      <c r="N85" s="36">
        <v>0.3</v>
      </c>
      <c r="O85" s="37">
        <f>(K85+L85+M85)*2340000</f>
        <v>9828000</v>
      </c>
    </row>
    <row r="86" spans="1:15" ht="22.5" customHeight="1" x14ac:dyDescent="0.35">
      <c r="A86" s="46"/>
      <c r="B86" s="137" t="s">
        <v>1987</v>
      </c>
      <c r="C86" s="55"/>
      <c r="D86" s="49"/>
      <c r="E86" s="49"/>
      <c r="F86" s="50"/>
      <c r="G86" s="39"/>
      <c r="H86" s="55"/>
      <c r="I86" s="55"/>
      <c r="J86" s="52"/>
      <c r="K86" s="151"/>
      <c r="L86" s="151"/>
      <c r="M86" s="151"/>
      <c r="N86" s="52"/>
      <c r="O86" s="53"/>
    </row>
    <row r="87" spans="1:15" ht="22.5" customHeight="1" x14ac:dyDescent="0.35">
      <c r="A87" s="33">
        <v>70</v>
      </c>
      <c r="B87" s="34" t="s">
        <v>1988</v>
      </c>
      <c r="C87" s="28"/>
      <c r="D87" s="42">
        <v>2696002898</v>
      </c>
      <c r="E87" s="24" t="s">
        <v>1989</v>
      </c>
      <c r="F87" s="25" t="s">
        <v>1990</v>
      </c>
      <c r="G87" s="22" t="s">
        <v>1991</v>
      </c>
      <c r="H87" s="28" t="s">
        <v>145</v>
      </c>
      <c r="I87" s="28" t="s">
        <v>136</v>
      </c>
      <c r="J87" s="28" t="s">
        <v>160</v>
      </c>
      <c r="K87" s="148">
        <v>3.56</v>
      </c>
      <c r="L87" s="148"/>
      <c r="M87" s="148">
        <v>0.1</v>
      </c>
      <c r="N87" s="36">
        <v>0.3</v>
      </c>
      <c r="O87" s="37">
        <f>(K87+L87+M87)*2340000</f>
        <v>8564400</v>
      </c>
    </row>
    <row r="88" spans="1:15" ht="22.5" customHeight="1" x14ac:dyDescent="0.35">
      <c r="A88" s="33">
        <v>71</v>
      </c>
      <c r="B88" s="34" t="s">
        <v>1992</v>
      </c>
      <c r="C88" s="28"/>
      <c r="D88" s="42">
        <v>2699042354</v>
      </c>
      <c r="E88" s="24" t="s">
        <v>1993</v>
      </c>
      <c r="F88" s="25" t="s">
        <v>1994</v>
      </c>
      <c r="G88" s="22" t="s">
        <v>1940</v>
      </c>
      <c r="H88" s="28" t="s">
        <v>136</v>
      </c>
      <c r="I88" s="28" t="s">
        <v>136</v>
      </c>
      <c r="J88" s="28" t="s">
        <v>160</v>
      </c>
      <c r="K88" s="148">
        <v>3.56</v>
      </c>
      <c r="L88" s="148"/>
      <c r="M88" s="148"/>
      <c r="N88" s="36">
        <v>0.3</v>
      </c>
      <c r="O88" s="37">
        <f>(K88+L88+M88)*2340000</f>
        <v>8330400</v>
      </c>
    </row>
    <row r="89" spans="1:15" ht="22.5" customHeight="1" x14ac:dyDescent="0.35">
      <c r="A89" s="33">
        <v>72</v>
      </c>
      <c r="B89" s="34" t="s">
        <v>1995</v>
      </c>
      <c r="C89" s="35"/>
      <c r="D89" s="54" t="s">
        <v>1996</v>
      </c>
      <c r="E89" s="40" t="s">
        <v>1997</v>
      </c>
      <c r="F89" s="41" t="s">
        <v>1998</v>
      </c>
      <c r="G89" s="22" t="s">
        <v>1999</v>
      </c>
      <c r="H89" s="28" t="s">
        <v>136</v>
      </c>
      <c r="I89" s="28" t="s">
        <v>136</v>
      </c>
      <c r="J89" s="22" t="s">
        <v>137</v>
      </c>
      <c r="K89" s="146">
        <v>2.16</v>
      </c>
      <c r="L89" s="146"/>
      <c r="M89" s="146"/>
      <c r="N89" s="36">
        <v>0.3</v>
      </c>
      <c r="O89" s="37">
        <f>(K89+L89+M89)*2340000</f>
        <v>5054400</v>
      </c>
    </row>
    <row r="90" spans="1:15" ht="22.5" customHeight="1" x14ac:dyDescent="0.35">
      <c r="A90" s="33">
        <v>73</v>
      </c>
      <c r="B90" s="34" t="s">
        <v>2000</v>
      </c>
      <c r="C90" s="28"/>
      <c r="D90" s="42">
        <v>2696002896</v>
      </c>
      <c r="E90" s="24" t="s">
        <v>2001</v>
      </c>
      <c r="F90" s="25" t="s">
        <v>2002</v>
      </c>
      <c r="G90" s="22" t="s">
        <v>1625</v>
      </c>
      <c r="H90" s="28" t="s">
        <v>136</v>
      </c>
      <c r="I90" s="28" t="s">
        <v>136</v>
      </c>
      <c r="J90" s="28" t="s">
        <v>164</v>
      </c>
      <c r="K90" s="148">
        <v>4.2</v>
      </c>
      <c r="L90" s="148"/>
      <c r="M90" s="148"/>
      <c r="N90" s="36">
        <v>0.3</v>
      </c>
      <c r="O90" s="37">
        <f>(K90+L90+M90)*2340000</f>
        <v>9828000</v>
      </c>
    </row>
    <row r="91" spans="1:15" ht="22.5" customHeight="1" x14ac:dyDescent="0.35">
      <c r="A91" s="46"/>
      <c r="B91" s="137" t="s">
        <v>2003</v>
      </c>
      <c r="C91" s="55"/>
      <c r="D91" s="49"/>
      <c r="E91" s="49"/>
      <c r="F91" s="50"/>
      <c r="G91" s="39"/>
      <c r="H91" s="55"/>
      <c r="I91" s="55"/>
      <c r="J91" s="52"/>
      <c r="K91" s="151"/>
      <c r="L91" s="151"/>
      <c r="M91" s="151"/>
      <c r="N91" s="52"/>
      <c r="O91" s="53"/>
    </row>
    <row r="92" spans="1:15" ht="22.5" customHeight="1" x14ac:dyDescent="0.35">
      <c r="A92" s="33">
        <v>74</v>
      </c>
      <c r="B92" s="34" t="s">
        <v>2004</v>
      </c>
      <c r="C92" s="28"/>
      <c r="D92" s="23" t="s">
        <v>2005</v>
      </c>
      <c r="E92" s="24" t="s">
        <v>2006</v>
      </c>
      <c r="F92" s="41" t="s">
        <v>2007</v>
      </c>
      <c r="G92" s="22" t="s">
        <v>1917</v>
      </c>
      <c r="H92" s="28" t="s">
        <v>2008</v>
      </c>
      <c r="I92" s="28" t="s">
        <v>27</v>
      </c>
      <c r="J92" s="28" t="s">
        <v>35</v>
      </c>
      <c r="K92" s="148" t="s">
        <v>36</v>
      </c>
      <c r="L92" s="148">
        <v>0.5</v>
      </c>
      <c r="M92" s="148"/>
      <c r="N92" s="36">
        <v>0.3</v>
      </c>
      <c r="O92" s="37" t="e">
        <f>(K92+L92+M92)*2340000+(L92*2340000)</f>
        <v>#VALUE!</v>
      </c>
    </row>
    <row r="93" spans="1:15" ht="22.5" customHeight="1" x14ac:dyDescent="0.35">
      <c r="A93" s="33">
        <v>75</v>
      </c>
      <c r="B93" s="34" t="s">
        <v>2009</v>
      </c>
      <c r="C93" s="22"/>
      <c r="D93" s="23" t="s">
        <v>2010</v>
      </c>
      <c r="E93" s="40" t="s">
        <v>2011</v>
      </c>
      <c r="F93" s="41" t="s">
        <v>2012</v>
      </c>
      <c r="G93" s="22" t="s">
        <v>2013</v>
      </c>
      <c r="H93" s="28" t="s">
        <v>2014</v>
      </c>
      <c r="I93" s="28" t="s">
        <v>1520</v>
      </c>
      <c r="J93" s="28" t="s">
        <v>35</v>
      </c>
      <c r="K93" s="148" t="s">
        <v>36</v>
      </c>
      <c r="L93" s="148">
        <v>0.3</v>
      </c>
      <c r="M93" s="148"/>
      <c r="N93" s="36">
        <v>0.3</v>
      </c>
      <c r="O93" s="37" t="e">
        <f t="shared" ref="O93:O98" si="6">(K93+L93+M93)*2340000</f>
        <v>#VALUE!</v>
      </c>
    </row>
    <row r="94" spans="1:15" ht="22.5" customHeight="1" x14ac:dyDescent="0.35">
      <c r="A94" s="33">
        <v>76</v>
      </c>
      <c r="B94" s="34" t="s">
        <v>2015</v>
      </c>
      <c r="C94" s="35"/>
      <c r="D94" s="82">
        <v>3415000841</v>
      </c>
      <c r="E94" s="83" t="s">
        <v>2016</v>
      </c>
      <c r="F94" s="84" t="s">
        <v>2017</v>
      </c>
      <c r="G94" s="22" t="s">
        <v>829</v>
      </c>
      <c r="H94" s="28" t="s">
        <v>2018</v>
      </c>
      <c r="I94" s="28" t="s">
        <v>27</v>
      </c>
      <c r="J94" s="28" t="s">
        <v>37</v>
      </c>
      <c r="K94" s="148">
        <v>3.27</v>
      </c>
      <c r="L94" s="146"/>
      <c r="M94" s="146"/>
      <c r="N94" s="36">
        <v>0.3</v>
      </c>
      <c r="O94" s="37">
        <f t="shared" si="6"/>
        <v>7651800</v>
      </c>
    </row>
    <row r="95" spans="1:15" ht="22.5" customHeight="1" x14ac:dyDescent="0.35">
      <c r="A95" s="33">
        <v>77</v>
      </c>
      <c r="B95" s="34" t="s">
        <v>2019</v>
      </c>
      <c r="C95" s="35"/>
      <c r="D95" s="62">
        <v>3420123791</v>
      </c>
      <c r="E95" s="58">
        <v>34885</v>
      </c>
      <c r="F95" s="59" t="s">
        <v>2020</v>
      </c>
      <c r="G95" s="22" t="s">
        <v>976</v>
      </c>
      <c r="H95" s="28" t="s">
        <v>2018</v>
      </c>
      <c r="I95" s="28" t="s">
        <v>2021</v>
      </c>
      <c r="J95" s="22" t="s">
        <v>1827</v>
      </c>
      <c r="K95" s="146">
        <v>1.8</v>
      </c>
      <c r="L95" s="146"/>
      <c r="M95" s="146"/>
      <c r="N95" s="36">
        <v>0.3</v>
      </c>
      <c r="O95" s="37">
        <f t="shared" si="6"/>
        <v>4212000</v>
      </c>
    </row>
    <row r="96" spans="1:15" ht="22.5" customHeight="1" x14ac:dyDescent="0.35">
      <c r="A96" s="33">
        <v>78</v>
      </c>
      <c r="B96" s="34" t="s">
        <v>2022</v>
      </c>
      <c r="C96" s="28"/>
      <c r="D96" s="23" t="s">
        <v>2023</v>
      </c>
      <c r="E96" s="24" t="s">
        <v>2024</v>
      </c>
      <c r="F96" s="41" t="s">
        <v>2025</v>
      </c>
      <c r="G96" s="102" t="s">
        <v>25</v>
      </c>
      <c r="H96" s="28" t="s">
        <v>2026</v>
      </c>
      <c r="I96" s="28" t="s">
        <v>2026</v>
      </c>
      <c r="J96" s="28" t="s">
        <v>130</v>
      </c>
      <c r="K96" s="148">
        <v>3.19</v>
      </c>
      <c r="L96" s="148"/>
      <c r="M96" s="148"/>
      <c r="N96" s="36">
        <v>0.3</v>
      </c>
      <c r="O96" s="37">
        <f t="shared" si="6"/>
        <v>7464600</v>
      </c>
    </row>
    <row r="97" spans="1:15" ht="22.5" customHeight="1" x14ac:dyDescent="0.35">
      <c r="A97" s="33">
        <v>79</v>
      </c>
      <c r="B97" s="34" t="s">
        <v>2027</v>
      </c>
      <c r="C97" s="28"/>
      <c r="D97" s="23" t="s">
        <v>2028</v>
      </c>
      <c r="E97" s="24" t="s">
        <v>2029</v>
      </c>
      <c r="F97" s="25" t="s">
        <v>2030</v>
      </c>
      <c r="G97" s="22" t="s">
        <v>33</v>
      </c>
      <c r="H97" s="28" t="s">
        <v>2031</v>
      </c>
      <c r="I97" s="28" t="s">
        <v>2031</v>
      </c>
      <c r="J97" s="28" t="s">
        <v>164</v>
      </c>
      <c r="K97" s="148">
        <v>4.4000000000000004</v>
      </c>
      <c r="L97" s="148"/>
      <c r="M97" s="148"/>
      <c r="N97" s="36">
        <v>0.3</v>
      </c>
      <c r="O97" s="37">
        <f t="shared" si="6"/>
        <v>10296000</v>
      </c>
    </row>
    <row r="98" spans="1:15" ht="22.5" customHeight="1" x14ac:dyDescent="0.35">
      <c r="A98" s="33">
        <v>80</v>
      </c>
      <c r="B98" s="34" t="s">
        <v>2032</v>
      </c>
      <c r="C98" s="28"/>
      <c r="D98" s="23" t="s">
        <v>2033</v>
      </c>
      <c r="E98" s="24" t="s">
        <v>2034</v>
      </c>
      <c r="F98" s="25" t="s">
        <v>2035</v>
      </c>
      <c r="G98" s="22" t="s">
        <v>2036</v>
      </c>
      <c r="H98" s="28" t="s">
        <v>2026</v>
      </c>
      <c r="I98" s="28" t="s">
        <v>2026</v>
      </c>
      <c r="J98" s="28" t="s">
        <v>164</v>
      </c>
      <c r="K98" s="148">
        <v>4.4000000000000004</v>
      </c>
      <c r="L98" s="148"/>
      <c r="M98" s="148"/>
      <c r="N98" s="36">
        <v>0.3</v>
      </c>
      <c r="O98" s="37">
        <f t="shared" si="6"/>
        <v>10296000</v>
      </c>
    </row>
    <row r="99" spans="1:15" ht="28.5" customHeight="1" x14ac:dyDescent="0.35">
      <c r="A99" s="125"/>
      <c r="B99" s="123"/>
      <c r="C99" s="124"/>
      <c r="D99" s="127"/>
      <c r="E99" s="126"/>
      <c r="F99" s="127"/>
      <c r="G99" s="124"/>
      <c r="H99" s="129"/>
      <c r="I99" s="129"/>
      <c r="J99" s="130"/>
      <c r="K99" s="152"/>
      <c r="L99" s="152"/>
      <c r="M99" s="152"/>
      <c r="N99" s="130"/>
      <c r="O99" s="122"/>
    </row>
  </sheetData>
  <mergeCells count="15">
    <mergeCell ref="A1:H1"/>
    <mergeCell ref="J1:O1"/>
    <mergeCell ref="A2:H2"/>
    <mergeCell ref="J2:O2"/>
    <mergeCell ref="A3:H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O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11"/>
  <sheetViews>
    <sheetView tabSelected="1" topLeftCell="A43" zoomScale="85" zoomScaleNormal="85" workbookViewId="0">
      <selection activeCell="D47" sqref="D47"/>
    </sheetView>
  </sheetViews>
  <sheetFormatPr defaultRowHeight="14.5" x14ac:dyDescent="0.35"/>
  <cols>
    <col min="1" max="1" width="5.453125" style="2" bestFit="1" customWidth="1"/>
    <col min="2" max="2" width="21.453125" bestFit="1" customWidth="1"/>
    <col min="3" max="3" width="6" style="96" bestFit="1" customWidth="1"/>
    <col min="4" max="4" width="14.7265625" style="111" bestFit="1" customWidth="1"/>
    <col min="5" max="5" width="14.7265625" style="98" bestFit="1" customWidth="1"/>
    <col min="6" max="6" width="14.7265625" style="97" bestFit="1" customWidth="1"/>
    <col min="7" max="7" width="14.7265625" style="112" bestFit="1" customWidth="1"/>
    <col min="8" max="8" width="27.81640625" style="7" bestFit="1" customWidth="1"/>
    <col min="9" max="9" width="31.26953125" style="7" bestFit="1" customWidth="1"/>
    <col min="10" max="10" width="8.7265625" customWidth="1"/>
    <col min="11" max="11" width="7.7265625" style="3" bestFit="1" customWidth="1"/>
    <col min="12" max="12" width="7.7265625" style="3" customWidth="1"/>
    <col min="13" max="13" width="7.7265625" style="3" bestFit="1" customWidth="1"/>
    <col min="14" max="14" width="13.54296875" style="2" hidden="1" bestFit="1" customWidth="1"/>
    <col min="15" max="15" width="42" style="2" customWidth="1"/>
  </cols>
  <sheetData>
    <row r="1" spans="1:15" ht="18.75" customHeight="1" x14ac:dyDescent="0.35">
      <c r="A1" s="185" t="s">
        <v>0</v>
      </c>
      <c r="B1" s="186"/>
      <c r="C1" s="186"/>
      <c r="D1" s="185"/>
      <c r="E1" s="188"/>
      <c r="F1" s="187"/>
      <c r="G1" s="207"/>
      <c r="H1" s="189"/>
      <c r="I1" s="1"/>
      <c r="J1" s="186" t="s">
        <v>1041</v>
      </c>
      <c r="K1" s="185"/>
      <c r="L1" s="185"/>
      <c r="M1" s="185"/>
      <c r="N1" s="185"/>
      <c r="O1" s="185"/>
    </row>
    <row r="2" spans="1:15" ht="18.75" customHeight="1" x14ac:dyDescent="0.35">
      <c r="A2" s="185" t="s">
        <v>2</v>
      </c>
      <c r="B2" s="186"/>
      <c r="C2" s="186"/>
      <c r="D2" s="185"/>
      <c r="E2" s="188"/>
      <c r="F2" s="187"/>
      <c r="G2" s="207"/>
      <c r="H2" s="189"/>
      <c r="I2" s="1"/>
      <c r="J2" s="190" t="s">
        <v>3</v>
      </c>
      <c r="K2" s="191"/>
      <c r="L2" s="191"/>
      <c r="M2" s="191"/>
      <c r="N2" s="191"/>
      <c r="O2" s="191"/>
    </row>
    <row r="3" spans="1:15" ht="18.75" customHeight="1" x14ac:dyDescent="0.35">
      <c r="A3" s="185" t="s">
        <v>4</v>
      </c>
      <c r="B3" s="186"/>
      <c r="C3" s="186"/>
      <c r="D3" s="185"/>
      <c r="E3" s="188"/>
      <c r="F3" s="187"/>
      <c r="G3" s="207"/>
      <c r="H3" s="189"/>
      <c r="I3" s="1"/>
      <c r="L3" s="154"/>
    </row>
    <row r="4" spans="1:15" ht="18.75" customHeight="1" x14ac:dyDescent="0.35"/>
    <row r="5" spans="1:15" ht="23.25" customHeight="1" x14ac:dyDescent="0.35">
      <c r="A5" s="200" t="s">
        <v>5</v>
      </c>
      <c r="B5" s="202" t="s">
        <v>6</v>
      </c>
      <c r="C5" s="195" t="s">
        <v>1042</v>
      </c>
      <c r="D5" s="204" t="s">
        <v>8</v>
      </c>
      <c r="E5" s="183" t="s">
        <v>9</v>
      </c>
      <c r="F5" s="172" t="s">
        <v>10</v>
      </c>
      <c r="G5" s="193" t="s">
        <v>11</v>
      </c>
      <c r="H5" s="195" t="s">
        <v>12</v>
      </c>
      <c r="I5" s="174" t="s">
        <v>1043</v>
      </c>
      <c r="J5" s="198" t="s">
        <v>14</v>
      </c>
      <c r="K5" s="199"/>
      <c r="L5" s="199"/>
      <c r="M5" s="199"/>
      <c r="N5" s="199"/>
      <c r="O5" s="199"/>
    </row>
    <row r="6" spans="1:15" ht="42.75" customHeight="1" x14ac:dyDescent="0.35">
      <c r="A6" s="201"/>
      <c r="B6" s="203"/>
      <c r="C6" s="196"/>
      <c r="D6" s="205"/>
      <c r="E6" s="206"/>
      <c r="F6" s="192"/>
      <c r="G6" s="194"/>
      <c r="H6" s="196"/>
      <c r="I6" s="197"/>
      <c r="J6" s="9" t="s">
        <v>15</v>
      </c>
      <c r="K6" s="10" t="s">
        <v>16</v>
      </c>
      <c r="L6" s="10" t="s">
        <v>18</v>
      </c>
      <c r="M6" s="10" t="s">
        <v>17</v>
      </c>
      <c r="N6" s="8"/>
      <c r="O6" s="8" t="s">
        <v>19</v>
      </c>
    </row>
    <row r="7" spans="1:15" ht="25.5" customHeight="1" x14ac:dyDescent="0.35">
      <c r="A7" s="11"/>
      <c r="B7" s="113" t="s">
        <v>1405</v>
      </c>
      <c r="C7" s="13"/>
      <c r="D7" s="14"/>
      <c r="E7" s="15"/>
      <c r="F7" s="16"/>
      <c r="G7" s="17"/>
      <c r="H7" s="13"/>
      <c r="I7" s="13"/>
      <c r="J7" s="11"/>
      <c r="K7" s="155"/>
      <c r="L7" s="155"/>
      <c r="M7" s="155"/>
      <c r="N7" s="11"/>
      <c r="O7" s="11"/>
    </row>
    <row r="8" spans="1:15" ht="22.5" customHeight="1" x14ac:dyDescent="0.35">
      <c r="A8" s="20">
        <v>1</v>
      </c>
      <c r="B8" s="21" t="s">
        <v>1406</v>
      </c>
      <c r="C8" s="114"/>
      <c r="D8" s="42">
        <v>2696039387</v>
      </c>
      <c r="E8" s="24">
        <v>26743</v>
      </c>
      <c r="F8" s="25" t="s">
        <v>1407</v>
      </c>
      <c r="G8" s="26" t="s">
        <v>1408</v>
      </c>
      <c r="H8" s="76" t="s">
        <v>26</v>
      </c>
      <c r="I8" s="76" t="s">
        <v>1409</v>
      </c>
      <c r="J8" s="114" t="s">
        <v>176</v>
      </c>
      <c r="K8" s="156">
        <v>4.66</v>
      </c>
      <c r="L8" s="156">
        <v>0.5</v>
      </c>
      <c r="M8" s="156"/>
      <c r="N8" s="31">
        <v>0.3</v>
      </c>
      <c r="O8" s="32">
        <f>(K8+L8+M8)*2340000+(L8*2340000)</f>
        <v>13244400</v>
      </c>
    </row>
    <row r="9" spans="1:15" ht="22.5" customHeight="1" x14ac:dyDescent="0.35">
      <c r="A9" s="33">
        <v>2</v>
      </c>
      <c r="B9" s="34" t="s">
        <v>1410</v>
      </c>
      <c r="C9" s="43"/>
      <c r="D9" s="23" t="s">
        <v>1411</v>
      </c>
      <c r="E9" s="24">
        <v>27007</v>
      </c>
      <c r="F9" s="25" t="s">
        <v>1412</v>
      </c>
      <c r="G9" s="26" t="s">
        <v>1413</v>
      </c>
      <c r="H9" s="43" t="s">
        <v>1414</v>
      </c>
      <c r="I9" s="76" t="s">
        <v>1409</v>
      </c>
      <c r="J9" s="44" t="s">
        <v>176</v>
      </c>
      <c r="K9" s="157">
        <v>4.66</v>
      </c>
      <c r="L9" s="158">
        <v>0.3</v>
      </c>
      <c r="M9" s="158"/>
      <c r="N9" s="36">
        <v>0.3</v>
      </c>
      <c r="O9" s="37">
        <f t="shared" ref="O9:O14" si="0">(K9+L9+M9)*2340000</f>
        <v>11606400</v>
      </c>
    </row>
    <row r="10" spans="1:15" ht="22.5" customHeight="1" x14ac:dyDescent="0.35">
      <c r="A10" s="38">
        <v>3</v>
      </c>
      <c r="B10" s="34" t="s">
        <v>1415</v>
      </c>
      <c r="C10" s="44" t="s">
        <v>21</v>
      </c>
      <c r="D10" s="42" t="s">
        <v>1416</v>
      </c>
      <c r="E10" s="24" t="s">
        <v>1417</v>
      </c>
      <c r="F10" s="41" t="s">
        <v>1418</v>
      </c>
      <c r="G10" s="26" t="s">
        <v>1419</v>
      </c>
      <c r="H10" s="43" t="s">
        <v>1051</v>
      </c>
      <c r="I10" s="76" t="s">
        <v>1409</v>
      </c>
      <c r="J10" s="43" t="s">
        <v>28</v>
      </c>
      <c r="K10" s="157">
        <v>4.33</v>
      </c>
      <c r="L10" s="141">
        <v>0.3</v>
      </c>
      <c r="M10" s="100"/>
      <c r="N10" s="36">
        <v>0.3</v>
      </c>
      <c r="O10" s="37">
        <f t="shared" si="0"/>
        <v>10834200</v>
      </c>
    </row>
    <row r="11" spans="1:15" ht="22.5" customHeight="1" x14ac:dyDescent="0.35">
      <c r="A11" s="33">
        <v>4</v>
      </c>
      <c r="B11" s="34" t="s">
        <v>1420</v>
      </c>
      <c r="C11" s="44"/>
      <c r="D11" s="42">
        <v>2606009176</v>
      </c>
      <c r="E11" s="40">
        <v>24613</v>
      </c>
      <c r="F11" s="41" t="s">
        <v>1421</v>
      </c>
      <c r="G11" s="26" t="s">
        <v>550</v>
      </c>
      <c r="H11" s="43" t="s">
        <v>1422</v>
      </c>
      <c r="I11" s="43" t="s">
        <v>136</v>
      </c>
      <c r="J11" s="44" t="s">
        <v>164</v>
      </c>
      <c r="K11" s="141">
        <v>4.2</v>
      </c>
      <c r="L11" s="100"/>
      <c r="M11" s="100" t="s">
        <v>79</v>
      </c>
      <c r="N11" s="36">
        <v>0.3</v>
      </c>
      <c r="O11" s="37" t="e">
        <f t="shared" si="0"/>
        <v>#VALUE!</v>
      </c>
    </row>
    <row r="12" spans="1:15" ht="22.5" customHeight="1" x14ac:dyDescent="0.35">
      <c r="A12" s="33">
        <v>5</v>
      </c>
      <c r="B12" s="34" t="s">
        <v>894</v>
      </c>
      <c r="C12" s="44" t="s">
        <v>21</v>
      </c>
      <c r="D12" s="42">
        <v>2604004614</v>
      </c>
      <c r="E12" s="24">
        <v>29005</v>
      </c>
      <c r="F12" s="25" t="s">
        <v>1423</v>
      </c>
      <c r="G12" s="26" t="s">
        <v>440</v>
      </c>
      <c r="H12" s="43" t="s">
        <v>1424</v>
      </c>
      <c r="I12" s="43" t="s">
        <v>136</v>
      </c>
      <c r="J12" s="28" t="s">
        <v>160</v>
      </c>
      <c r="K12" s="141">
        <v>3.56</v>
      </c>
      <c r="L12" s="100"/>
      <c r="M12" s="100"/>
      <c r="N12" s="36">
        <v>0.3</v>
      </c>
      <c r="O12" s="37">
        <f t="shared" si="0"/>
        <v>8330400</v>
      </c>
    </row>
    <row r="13" spans="1:15" ht="22.5" customHeight="1" x14ac:dyDescent="0.35">
      <c r="A13" s="38">
        <v>6</v>
      </c>
      <c r="B13" s="34" t="s">
        <v>1425</v>
      </c>
      <c r="C13" s="22" t="s">
        <v>21</v>
      </c>
      <c r="D13" s="42">
        <v>2603000383</v>
      </c>
      <c r="E13" s="24">
        <v>28739</v>
      </c>
      <c r="F13" s="25" t="s">
        <v>1426</v>
      </c>
      <c r="G13" s="26" t="s">
        <v>1427</v>
      </c>
      <c r="H13" s="28" t="s">
        <v>1428</v>
      </c>
      <c r="I13" s="28" t="s">
        <v>1429</v>
      </c>
      <c r="J13" s="22" t="s">
        <v>899</v>
      </c>
      <c r="K13" s="100">
        <v>3.89</v>
      </c>
      <c r="L13" s="100"/>
      <c r="M13" s="100"/>
      <c r="N13" s="36">
        <v>0.3</v>
      </c>
      <c r="O13" s="37">
        <f t="shared" si="0"/>
        <v>9102600</v>
      </c>
    </row>
    <row r="14" spans="1:15" ht="22.5" customHeight="1" x14ac:dyDescent="0.35">
      <c r="A14" s="33">
        <v>7</v>
      </c>
      <c r="B14" s="34" t="s">
        <v>1430</v>
      </c>
      <c r="C14" s="22"/>
      <c r="D14" s="42">
        <v>2603007357</v>
      </c>
      <c r="E14" s="24">
        <v>27833</v>
      </c>
      <c r="F14" s="25" t="s">
        <v>1431</v>
      </c>
      <c r="G14" s="26" t="s">
        <v>1432</v>
      </c>
      <c r="H14" s="28" t="s">
        <v>1073</v>
      </c>
      <c r="I14" s="28" t="s">
        <v>69</v>
      </c>
      <c r="J14" s="22" t="s">
        <v>70</v>
      </c>
      <c r="K14" s="100">
        <v>3.6</v>
      </c>
      <c r="L14" s="100"/>
      <c r="M14" s="100"/>
      <c r="N14" s="36">
        <v>0.3</v>
      </c>
      <c r="O14" s="37">
        <f t="shared" si="0"/>
        <v>8424000</v>
      </c>
    </row>
    <row r="15" spans="1:15" ht="22.5" customHeight="1" x14ac:dyDescent="0.35">
      <c r="A15" s="46"/>
      <c r="B15" s="101" t="s">
        <v>623</v>
      </c>
      <c r="C15" s="35"/>
      <c r="D15" s="49"/>
      <c r="E15" s="115"/>
      <c r="F15" s="50"/>
      <c r="G15" s="39"/>
      <c r="H15" s="55"/>
      <c r="I15" s="55"/>
      <c r="J15" s="39"/>
      <c r="K15" s="159"/>
      <c r="L15" s="159"/>
      <c r="M15" s="159"/>
      <c r="N15" s="52"/>
      <c r="O15" s="53"/>
    </row>
    <row r="16" spans="1:15" ht="22.5" customHeight="1" x14ac:dyDescent="0.35">
      <c r="A16" s="33">
        <v>8</v>
      </c>
      <c r="B16" s="34" t="s">
        <v>1433</v>
      </c>
      <c r="C16" s="22" t="s">
        <v>21</v>
      </c>
      <c r="D16" s="42">
        <v>2696039391</v>
      </c>
      <c r="E16" s="24">
        <v>27486</v>
      </c>
      <c r="F16" s="25" t="s">
        <v>1434</v>
      </c>
      <c r="G16" s="26" t="s">
        <v>400</v>
      </c>
      <c r="H16" s="28" t="s">
        <v>48</v>
      </c>
      <c r="I16" s="28" t="s">
        <v>49</v>
      </c>
      <c r="J16" s="22" t="s">
        <v>50</v>
      </c>
      <c r="K16" s="100">
        <v>4.51</v>
      </c>
      <c r="L16" s="100"/>
      <c r="M16" s="100">
        <v>0.2</v>
      </c>
      <c r="N16" s="36">
        <v>0.3</v>
      </c>
      <c r="O16" s="37">
        <f>(K16+L16+M16)*2340000</f>
        <v>11021400</v>
      </c>
    </row>
    <row r="17" spans="1:15" ht="22.5" customHeight="1" x14ac:dyDescent="0.35">
      <c r="A17" s="38">
        <v>9</v>
      </c>
      <c r="B17" s="34" t="s">
        <v>1435</v>
      </c>
      <c r="C17" s="44" t="s">
        <v>21</v>
      </c>
      <c r="D17" s="23" t="s">
        <v>1436</v>
      </c>
      <c r="E17" s="24">
        <v>31163</v>
      </c>
      <c r="F17" s="25" t="s">
        <v>1437</v>
      </c>
      <c r="G17" s="26" t="s">
        <v>628</v>
      </c>
      <c r="H17" s="43" t="s">
        <v>1087</v>
      </c>
      <c r="I17" s="28" t="s">
        <v>49</v>
      </c>
      <c r="J17" s="44" t="s">
        <v>96</v>
      </c>
      <c r="K17" s="157">
        <v>3.58</v>
      </c>
      <c r="L17" s="157"/>
      <c r="M17" s="157" t="s">
        <v>218</v>
      </c>
      <c r="N17" s="36">
        <v>0.3</v>
      </c>
      <c r="O17" s="37" t="e">
        <f>(K17+L17+M17)*2340000</f>
        <v>#VALUE!</v>
      </c>
    </row>
    <row r="18" spans="1:15" ht="22.5" customHeight="1" x14ac:dyDescent="0.35">
      <c r="A18" s="33">
        <v>10</v>
      </c>
      <c r="B18" s="34" t="s">
        <v>1438</v>
      </c>
      <c r="C18" s="22" t="s">
        <v>21</v>
      </c>
      <c r="D18" s="45">
        <v>3414007450</v>
      </c>
      <c r="E18" s="40">
        <v>33868</v>
      </c>
      <c r="F18" s="41" t="s">
        <v>1439</v>
      </c>
      <c r="G18" s="26" t="s">
        <v>84</v>
      </c>
      <c r="H18" s="28" t="s">
        <v>640</v>
      </c>
      <c r="I18" s="28" t="s">
        <v>49</v>
      </c>
      <c r="J18" s="22" t="s">
        <v>37</v>
      </c>
      <c r="K18" s="100">
        <v>3.27</v>
      </c>
      <c r="L18" s="100"/>
      <c r="M18" s="100"/>
      <c r="N18" s="36">
        <v>0.3</v>
      </c>
      <c r="O18" s="37">
        <f>(K18+L18+M18)*2340000</f>
        <v>7651800</v>
      </c>
    </row>
    <row r="19" spans="1:15" ht="22.5" customHeight="1" x14ac:dyDescent="0.35">
      <c r="A19" s="46"/>
      <c r="B19" s="101" t="s">
        <v>97</v>
      </c>
      <c r="C19" s="35"/>
      <c r="D19" s="65"/>
      <c r="E19" s="116"/>
      <c r="F19" s="79"/>
      <c r="G19" s="39"/>
      <c r="H19" s="52"/>
      <c r="I19" s="52"/>
      <c r="J19" s="39"/>
      <c r="K19" s="159"/>
      <c r="L19" s="159"/>
      <c r="M19" s="159"/>
      <c r="N19" s="52"/>
      <c r="O19" s="53"/>
    </row>
    <row r="20" spans="1:15" ht="22.5" customHeight="1" x14ac:dyDescent="0.35">
      <c r="A20" s="33">
        <v>11</v>
      </c>
      <c r="B20" s="34" t="s">
        <v>1440</v>
      </c>
      <c r="C20" s="22"/>
      <c r="D20" s="42">
        <v>2607002123</v>
      </c>
      <c r="E20" s="24">
        <v>30946</v>
      </c>
      <c r="F20" s="25" t="s">
        <v>1441</v>
      </c>
      <c r="G20" s="26" t="s">
        <v>628</v>
      </c>
      <c r="H20" s="28" t="s">
        <v>48</v>
      </c>
      <c r="I20" s="28" t="s">
        <v>27</v>
      </c>
      <c r="J20" s="22" t="s">
        <v>96</v>
      </c>
      <c r="K20" s="100">
        <v>3.58</v>
      </c>
      <c r="L20" s="100"/>
      <c r="M20" s="100" t="s">
        <v>79</v>
      </c>
      <c r="N20" s="36">
        <v>0.3</v>
      </c>
      <c r="O20" s="37" t="e">
        <f>(K20+L20+M20)*2340000</f>
        <v>#VALUE!</v>
      </c>
    </row>
    <row r="21" spans="1:15" ht="22.5" customHeight="1" x14ac:dyDescent="0.35">
      <c r="A21" s="38">
        <v>12</v>
      </c>
      <c r="B21" s="34" t="s">
        <v>1442</v>
      </c>
      <c r="C21" s="22"/>
      <c r="D21" s="45">
        <v>3414007448</v>
      </c>
      <c r="E21" s="40">
        <v>33710</v>
      </c>
      <c r="F21" s="41" t="s">
        <v>1443</v>
      </c>
      <c r="G21" s="26" t="s">
        <v>84</v>
      </c>
      <c r="H21" s="28" t="s">
        <v>1444</v>
      </c>
      <c r="I21" s="28" t="s">
        <v>27</v>
      </c>
      <c r="J21" s="22" t="s">
        <v>63</v>
      </c>
      <c r="K21" s="100">
        <v>2.96</v>
      </c>
      <c r="L21" s="100"/>
      <c r="M21" s="100"/>
      <c r="N21" s="36">
        <v>0.3</v>
      </c>
      <c r="O21" s="37">
        <f>(K21+L21+M21)*2340000</f>
        <v>6926400</v>
      </c>
    </row>
    <row r="22" spans="1:15" ht="22.5" customHeight="1" x14ac:dyDescent="0.35">
      <c r="A22" s="33">
        <v>13</v>
      </c>
      <c r="B22" s="34" t="s">
        <v>1445</v>
      </c>
      <c r="C22" s="22" t="s">
        <v>21</v>
      </c>
      <c r="D22" s="54" t="s">
        <v>1446</v>
      </c>
      <c r="E22" s="40">
        <v>33032</v>
      </c>
      <c r="F22" s="41" t="s">
        <v>1447</v>
      </c>
      <c r="G22" s="26" t="s">
        <v>1448</v>
      </c>
      <c r="H22" s="28" t="s">
        <v>1444</v>
      </c>
      <c r="I22" s="28" t="s">
        <v>27</v>
      </c>
      <c r="J22" s="22" t="s">
        <v>63</v>
      </c>
      <c r="K22" s="100">
        <v>2.96</v>
      </c>
      <c r="L22" s="100"/>
      <c r="M22" s="100"/>
      <c r="N22" s="36">
        <v>0.3</v>
      </c>
      <c r="O22" s="37">
        <f>(K22+L22+M22)*2340000</f>
        <v>6926400</v>
      </c>
    </row>
    <row r="23" spans="1:15" ht="22.5" customHeight="1" x14ac:dyDescent="0.35">
      <c r="A23" s="33">
        <v>14</v>
      </c>
      <c r="B23" s="34" t="s">
        <v>1449</v>
      </c>
      <c r="C23" s="22"/>
      <c r="D23" s="45">
        <v>3415009240</v>
      </c>
      <c r="E23" s="40">
        <v>33416</v>
      </c>
      <c r="F23" s="41" t="s">
        <v>1450</v>
      </c>
      <c r="G23" s="26" t="s">
        <v>1451</v>
      </c>
      <c r="H23" s="28" t="s">
        <v>1444</v>
      </c>
      <c r="I23" s="28" t="s">
        <v>419</v>
      </c>
      <c r="J23" s="22" t="s">
        <v>1452</v>
      </c>
      <c r="K23" s="100">
        <v>2.37</v>
      </c>
      <c r="L23" s="100"/>
      <c r="M23" s="100"/>
      <c r="N23" s="36">
        <v>0.3</v>
      </c>
      <c r="O23" s="37">
        <f>(K23+L23+M23)*2340000</f>
        <v>5545800</v>
      </c>
    </row>
    <row r="24" spans="1:15" ht="22.5" customHeight="1" x14ac:dyDescent="0.35">
      <c r="A24" s="46"/>
      <c r="B24" s="101" t="s">
        <v>1110</v>
      </c>
      <c r="C24" s="35"/>
      <c r="D24" s="65"/>
      <c r="E24" s="116"/>
      <c r="F24" s="79"/>
      <c r="G24" s="39"/>
      <c r="H24" s="52"/>
      <c r="I24" s="52"/>
      <c r="J24" s="39"/>
      <c r="K24" s="159"/>
      <c r="L24" s="159"/>
      <c r="M24" s="159"/>
      <c r="N24" s="52"/>
      <c r="O24" s="53"/>
    </row>
    <row r="25" spans="1:15" ht="22.5" customHeight="1" x14ac:dyDescent="0.35">
      <c r="A25" s="38">
        <v>15</v>
      </c>
      <c r="B25" s="34" t="s">
        <v>1453</v>
      </c>
      <c r="C25" s="22"/>
      <c r="D25" s="23" t="s">
        <v>1454</v>
      </c>
      <c r="E25" s="24">
        <v>24451</v>
      </c>
      <c r="F25" s="25" t="s">
        <v>1455</v>
      </c>
      <c r="G25" s="26" t="s">
        <v>1456</v>
      </c>
      <c r="H25" s="28" t="s">
        <v>48</v>
      </c>
      <c r="I25" s="28" t="s">
        <v>1457</v>
      </c>
      <c r="J25" s="22" t="s">
        <v>164</v>
      </c>
      <c r="K25" s="100">
        <v>4.4000000000000004</v>
      </c>
      <c r="L25" s="100"/>
      <c r="M25" s="100">
        <v>0.2</v>
      </c>
      <c r="N25" s="36">
        <v>0.3</v>
      </c>
      <c r="O25" s="37">
        <f>(K25+L25+M25)*2340000</f>
        <v>10764000.000000002</v>
      </c>
    </row>
    <row r="26" spans="1:15" ht="22.5" customHeight="1" x14ac:dyDescent="0.35">
      <c r="A26" s="33">
        <v>16</v>
      </c>
      <c r="B26" s="34" t="s">
        <v>1458</v>
      </c>
      <c r="C26" s="22"/>
      <c r="D26" s="117">
        <v>3420617652</v>
      </c>
      <c r="E26" s="24">
        <v>30479</v>
      </c>
      <c r="F26" s="25" t="s">
        <v>1459</v>
      </c>
      <c r="G26" s="26" t="s">
        <v>1460</v>
      </c>
      <c r="H26" s="28" t="s">
        <v>689</v>
      </c>
      <c r="I26" s="28" t="s">
        <v>689</v>
      </c>
      <c r="J26" s="22" t="s">
        <v>137</v>
      </c>
      <c r="K26" s="100">
        <v>2.31</v>
      </c>
      <c r="L26" s="100"/>
      <c r="M26" s="100"/>
      <c r="N26" s="36">
        <v>0.3</v>
      </c>
      <c r="O26" s="37">
        <f>(K26+L26+M26)*2340000</f>
        <v>5405400</v>
      </c>
    </row>
    <row r="27" spans="1:15" ht="22.5" customHeight="1" x14ac:dyDescent="0.35">
      <c r="A27" s="33">
        <v>17</v>
      </c>
      <c r="B27" s="34" t="s">
        <v>1461</v>
      </c>
      <c r="C27" s="22"/>
      <c r="D27" s="42">
        <v>2601004230</v>
      </c>
      <c r="E27" s="24">
        <v>28184</v>
      </c>
      <c r="F27" s="25" t="s">
        <v>1462</v>
      </c>
      <c r="G27" s="26" t="s">
        <v>825</v>
      </c>
      <c r="H27" s="28" t="s">
        <v>225</v>
      </c>
      <c r="I27" s="28" t="s">
        <v>225</v>
      </c>
      <c r="J27" s="22" t="s">
        <v>160</v>
      </c>
      <c r="K27" s="100">
        <v>3.74</v>
      </c>
      <c r="L27" s="100"/>
      <c r="M27" s="100"/>
      <c r="N27" s="36">
        <v>0.3</v>
      </c>
      <c r="O27" s="37">
        <f>(K27+L27+M27)*2340000</f>
        <v>8751600</v>
      </c>
    </row>
    <row r="28" spans="1:15" ht="22.5" customHeight="1" x14ac:dyDescent="0.35">
      <c r="A28" s="38">
        <v>18</v>
      </c>
      <c r="B28" s="34" t="s">
        <v>1463</v>
      </c>
      <c r="C28" s="22"/>
      <c r="D28" s="23" t="s">
        <v>1464</v>
      </c>
      <c r="E28" s="24">
        <v>30225</v>
      </c>
      <c r="F28" s="25" t="s">
        <v>1465</v>
      </c>
      <c r="G28" s="26" t="s">
        <v>440</v>
      </c>
      <c r="H28" s="28" t="s">
        <v>225</v>
      </c>
      <c r="I28" s="28" t="s">
        <v>225</v>
      </c>
      <c r="J28" s="22" t="s">
        <v>160</v>
      </c>
      <c r="K28" s="100">
        <v>3.74</v>
      </c>
      <c r="L28" s="100"/>
      <c r="M28" s="100"/>
      <c r="N28" s="36">
        <v>0.3</v>
      </c>
      <c r="O28" s="37">
        <f>(K28+L28+M28)*2340000</f>
        <v>8751600</v>
      </c>
    </row>
    <row r="29" spans="1:15" ht="22.5" customHeight="1" x14ac:dyDescent="0.35">
      <c r="A29" s="39"/>
      <c r="B29" s="101" t="s">
        <v>1466</v>
      </c>
      <c r="C29" s="35"/>
      <c r="D29" s="49"/>
      <c r="E29" s="115"/>
      <c r="F29" s="50"/>
      <c r="G29" s="39"/>
      <c r="H29" s="55"/>
      <c r="I29" s="55"/>
      <c r="J29" s="39"/>
      <c r="K29" s="159"/>
      <c r="L29" s="159"/>
      <c r="M29" s="159"/>
      <c r="N29" s="52"/>
      <c r="O29" s="53"/>
    </row>
    <row r="30" spans="1:15" ht="22.5" customHeight="1" x14ac:dyDescent="0.35">
      <c r="A30" s="33">
        <v>19</v>
      </c>
      <c r="B30" s="34" t="s">
        <v>1467</v>
      </c>
      <c r="C30" s="28"/>
      <c r="D30" s="42">
        <v>2605003012</v>
      </c>
      <c r="E30" s="24" t="s">
        <v>1468</v>
      </c>
      <c r="F30" s="25" t="s">
        <v>1469</v>
      </c>
      <c r="G30" s="26" t="s">
        <v>1256</v>
      </c>
      <c r="H30" s="28" t="s">
        <v>145</v>
      </c>
      <c r="I30" s="28" t="s">
        <v>1409</v>
      </c>
      <c r="J30" s="28" t="s">
        <v>198</v>
      </c>
      <c r="K30" s="141">
        <v>4.2</v>
      </c>
      <c r="L30" s="141"/>
      <c r="M30" s="141">
        <v>0.2</v>
      </c>
      <c r="N30" s="36">
        <v>0.3</v>
      </c>
      <c r="O30" s="37">
        <f t="shared" ref="O30:O38" si="1">(K30+L30+M30)*2340000</f>
        <v>10296000</v>
      </c>
    </row>
    <row r="31" spans="1:15" ht="22.5" customHeight="1" x14ac:dyDescent="0.35">
      <c r="A31" s="33">
        <v>20</v>
      </c>
      <c r="B31" s="34" t="s">
        <v>1470</v>
      </c>
      <c r="C31" s="22"/>
      <c r="D31" s="42">
        <v>2696039370</v>
      </c>
      <c r="E31" s="24">
        <v>26701</v>
      </c>
      <c r="F31" s="25" t="s">
        <v>1471</v>
      </c>
      <c r="G31" s="26" t="s">
        <v>1472</v>
      </c>
      <c r="H31" s="28" t="s">
        <v>136</v>
      </c>
      <c r="I31" s="28" t="s">
        <v>136</v>
      </c>
      <c r="J31" s="28" t="s">
        <v>160</v>
      </c>
      <c r="K31" s="141">
        <v>3.56</v>
      </c>
      <c r="L31" s="100"/>
      <c r="M31" s="100"/>
      <c r="N31" s="36">
        <v>0.3</v>
      </c>
      <c r="O31" s="37">
        <f t="shared" si="1"/>
        <v>8330400</v>
      </c>
    </row>
    <row r="32" spans="1:15" ht="22.5" customHeight="1" x14ac:dyDescent="0.35">
      <c r="A32" s="38">
        <v>21</v>
      </c>
      <c r="B32" s="34" t="s">
        <v>357</v>
      </c>
      <c r="C32" s="22"/>
      <c r="D32" s="42">
        <v>2696039376</v>
      </c>
      <c r="E32" s="24">
        <v>25798</v>
      </c>
      <c r="F32" s="25" t="s">
        <v>1473</v>
      </c>
      <c r="G32" s="26" t="s">
        <v>706</v>
      </c>
      <c r="H32" s="28" t="s">
        <v>136</v>
      </c>
      <c r="I32" s="28" t="s">
        <v>136</v>
      </c>
      <c r="J32" s="28" t="s">
        <v>160</v>
      </c>
      <c r="K32" s="141">
        <v>3.56</v>
      </c>
      <c r="L32" s="100"/>
      <c r="M32" s="100"/>
      <c r="N32" s="36">
        <v>0.3</v>
      </c>
      <c r="O32" s="37">
        <f t="shared" si="1"/>
        <v>8330400</v>
      </c>
    </row>
    <row r="33" spans="1:15" ht="22.5" customHeight="1" x14ac:dyDescent="0.35">
      <c r="A33" s="33">
        <v>22</v>
      </c>
      <c r="B33" s="34" t="s">
        <v>1474</v>
      </c>
      <c r="C33" s="22"/>
      <c r="D33" s="23" t="s">
        <v>1475</v>
      </c>
      <c r="E33" s="24">
        <v>31454</v>
      </c>
      <c r="F33" s="118" t="s">
        <v>1476</v>
      </c>
      <c r="G33" s="26" t="s">
        <v>628</v>
      </c>
      <c r="H33" s="28" t="s">
        <v>136</v>
      </c>
      <c r="I33" s="28" t="s">
        <v>136</v>
      </c>
      <c r="J33" s="28" t="s">
        <v>160</v>
      </c>
      <c r="K33" s="141">
        <v>3.56</v>
      </c>
      <c r="L33" s="100"/>
      <c r="M33" s="100"/>
      <c r="N33" s="36">
        <v>0.3</v>
      </c>
      <c r="O33" s="37">
        <f t="shared" si="1"/>
        <v>8330400</v>
      </c>
    </row>
    <row r="34" spans="1:15" ht="22.5" customHeight="1" x14ac:dyDescent="0.35">
      <c r="A34" s="33">
        <v>23</v>
      </c>
      <c r="B34" s="34" t="s">
        <v>1477</v>
      </c>
      <c r="C34" s="22"/>
      <c r="D34" s="54" t="s">
        <v>1478</v>
      </c>
      <c r="E34" s="40">
        <v>29195</v>
      </c>
      <c r="F34" s="41" t="s">
        <v>1479</v>
      </c>
      <c r="G34" s="26" t="s">
        <v>628</v>
      </c>
      <c r="H34" s="28" t="s">
        <v>136</v>
      </c>
      <c r="I34" s="28" t="s">
        <v>136</v>
      </c>
      <c r="J34" s="28" t="s">
        <v>130</v>
      </c>
      <c r="K34" s="141">
        <v>3.01</v>
      </c>
      <c r="L34" s="100"/>
      <c r="M34" s="100"/>
      <c r="N34" s="36">
        <v>0.3</v>
      </c>
      <c r="O34" s="37">
        <f t="shared" si="1"/>
        <v>7043399.9999999991</v>
      </c>
    </row>
    <row r="35" spans="1:15" ht="22.5" customHeight="1" x14ac:dyDescent="0.35">
      <c r="A35" s="38">
        <v>24</v>
      </c>
      <c r="B35" s="34" t="s">
        <v>1480</v>
      </c>
      <c r="C35" s="22"/>
      <c r="D35" s="42">
        <v>2696039367</v>
      </c>
      <c r="E35" s="24">
        <v>27519</v>
      </c>
      <c r="F35" s="25" t="s">
        <v>1481</v>
      </c>
      <c r="G35" s="26" t="s">
        <v>1482</v>
      </c>
      <c r="H35" s="28" t="s">
        <v>136</v>
      </c>
      <c r="I35" s="28" t="s">
        <v>136</v>
      </c>
      <c r="J35" s="22" t="s">
        <v>160</v>
      </c>
      <c r="K35" s="100">
        <v>3.56</v>
      </c>
      <c r="L35" s="100"/>
      <c r="M35" s="100"/>
      <c r="N35" s="36">
        <v>0.3</v>
      </c>
      <c r="O35" s="37">
        <f t="shared" si="1"/>
        <v>8330400</v>
      </c>
    </row>
    <row r="36" spans="1:15" ht="22.5" customHeight="1" x14ac:dyDescent="0.35">
      <c r="A36" s="33">
        <v>25</v>
      </c>
      <c r="B36" s="34" t="s">
        <v>1483</v>
      </c>
      <c r="C36" s="28"/>
      <c r="D36" s="42">
        <v>8401004599</v>
      </c>
      <c r="E36" s="24">
        <v>29869</v>
      </c>
      <c r="F36" s="41" t="s">
        <v>1484</v>
      </c>
      <c r="G36" s="26" t="s">
        <v>658</v>
      </c>
      <c r="H36" s="28" t="s">
        <v>170</v>
      </c>
      <c r="I36" s="28" t="s">
        <v>1485</v>
      </c>
      <c r="J36" s="28" t="s">
        <v>181</v>
      </c>
      <c r="K36" s="141">
        <v>3.51</v>
      </c>
      <c r="L36" s="141"/>
      <c r="M36" s="141">
        <v>0.1</v>
      </c>
      <c r="N36" s="36">
        <v>0.3</v>
      </c>
      <c r="O36" s="37">
        <f t="shared" si="1"/>
        <v>8447400</v>
      </c>
    </row>
    <row r="37" spans="1:15" ht="22.5" customHeight="1" x14ac:dyDescent="0.35">
      <c r="A37" s="33">
        <v>26</v>
      </c>
      <c r="B37" s="34" t="s">
        <v>1486</v>
      </c>
      <c r="C37" s="22" t="s">
        <v>21</v>
      </c>
      <c r="D37" s="23" t="s">
        <v>1487</v>
      </c>
      <c r="E37" s="24" t="s">
        <v>1488</v>
      </c>
      <c r="F37" s="25" t="s">
        <v>1489</v>
      </c>
      <c r="G37" s="26" t="s">
        <v>620</v>
      </c>
      <c r="H37" s="28" t="s">
        <v>136</v>
      </c>
      <c r="I37" s="28" t="s">
        <v>136</v>
      </c>
      <c r="J37" s="22" t="s">
        <v>164</v>
      </c>
      <c r="K37" s="100">
        <v>4.2</v>
      </c>
      <c r="L37" s="100"/>
      <c r="M37" s="100"/>
      <c r="N37" s="36">
        <v>0.3</v>
      </c>
      <c r="O37" s="37">
        <f t="shared" si="1"/>
        <v>9828000</v>
      </c>
    </row>
    <row r="38" spans="1:15" ht="22.5" customHeight="1" x14ac:dyDescent="0.35">
      <c r="A38" s="38">
        <v>27</v>
      </c>
      <c r="B38" s="34" t="s">
        <v>1268</v>
      </c>
      <c r="C38" s="22" t="s">
        <v>21</v>
      </c>
      <c r="D38" s="42">
        <v>2696025598</v>
      </c>
      <c r="E38" s="24">
        <v>26504</v>
      </c>
      <c r="F38" s="41" t="s">
        <v>1490</v>
      </c>
      <c r="G38" s="26" t="s">
        <v>1491</v>
      </c>
      <c r="H38" s="28" t="s">
        <v>225</v>
      </c>
      <c r="I38" s="28" t="s">
        <v>225</v>
      </c>
      <c r="J38" s="22" t="s">
        <v>164</v>
      </c>
      <c r="K38" s="100">
        <v>4.2</v>
      </c>
      <c r="L38" s="100"/>
      <c r="M38" s="100"/>
      <c r="N38" s="36">
        <v>0.3</v>
      </c>
      <c r="O38" s="37">
        <f t="shared" si="1"/>
        <v>9828000</v>
      </c>
    </row>
    <row r="39" spans="1:15" ht="22.5" customHeight="1" x14ac:dyDescent="0.35">
      <c r="A39" s="39"/>
      <c r="B39" s="101" t="s">
        <v>1492</v>
      </c>
      <c r="C39" s="35"/>
      <c r="D39" s="49"/>
      <c r="E39" s="115"/>
      <c r="F39" s="79"/>
      <c r="G39" s="39"/>
      <c r="H39" s="55"/>
      <c r="I39" s="55"/>
      <c r="J39" s="39"/>
      <c r="K39" s="159"/>
      <c r="L39" s="159"/>
      <c r="M39" s="159"/>
      <c r="N39" s="52"/>
      <c r="O39" s="53"/>
    </row>
    <row r="40" spans="1:15" ht="22.5" customHeight="1" x14ac:dyDescent="0.35">
      <c r="A40" s="33">
        <v>28</v>
      </c>
      <c r="B40" s="34" t="s">
        <v>1493</v>
      </c>
      <c r="C40" s="28" t="s">
        <v>21</v>
      </c>
      <c r="D40" s="42">
        <v>2603008173</v>
      </c>
      <c r="E40" s="24">
        <v>29791</v>
      </c>
      <c r="F40" s="41" t="s">
        <v>1494</v>
      </c>
      <c r="G40" s="26" t="s">
        <v>1495</v>
      </c>
      <c r="H40" s="28" t="s">
        <v>145</v>
      </c>
      <c r="I40" s="28" t="s">
        <v>1409</v>
      </c>
      <c r="J40" s="28" t="s">
        <v>43</v>
      </c>
      <c r="K40" s="141">
        <v>3.89</v>
      </c>
      <c r="L40" s="141"/>
      <c r="M40" s="141">
        <v>0.2</v>
      </c>
      <c r="N40" s="36">
        <v>0.3</v>
      </c>
      <c r="O40" s="37">
        <f t="shared" ref="O40:O47" si="2">(K40+L40+M40)*2340000</f>
        <v>9570600</v>
      </c>
    </row>
    <row r="41" spans="1:15" ht="22.5" customHeight="1" x14ac:dyDescent="0.35">
      <c r="A41" s="33">
        <v>29</v>
      </c>
      <c r="B41" s="34" t="s">
        <v>1496</v>
      </c>
      <c r="C41" s="22" t="s">
        <v>21</v>
      </c>
      <c r="D41" s="42">
        <v>2696039382</v>
      </c>
      <c r="E41" s="24">
        <v>27557</v>
      </c>
      <c r="F41" s="25" t="s">
        <v>1497</v>
      </c>
      <c r="G41" s="26" t="s">
        <v>1408</v>
      </c>
      <c r="H41" s="28" t="s">
        <v>136</v>
      </c>
      <c r="I41" s="28" t="s">
        <v>136</v>
      </c>
      <c r="J41" s="22" t="s">
        <v>164</v>
      </c>
      <c r="K41" s="100">
        <v>4.2</v>
      </c>
      <c r="L41" s="100"/>
      <c r="M41" s="100"/>
      <c r="N41" s="36">
        <v>0.3</v>
      </c>
      <c r="O41" s="37">
        <f t="shared" si="2"/>
        <v>9828000</v>
      </c>
    </row>
    <row r="42" spans="1:15" ht="22.5" customHeight="1" x14ac:dyDescent="0.35">
      <c r="A42" s="38">
        <v>30</v>
      </c>
      <c r="B42" s="34" t="s">
        <v>1498</v>
      </c>
      <c r="C42" s="22" t="s">
        <v>21</v>
      </c>
      <c r="D42" s="42">
        <v>2601004233</v>
      </c>
      <c r="E42" s="24">
        <v>28133</v>
      </c>
      <c r="F42" s="25" t="s">
        <v>1499</v>
      </c>
      <c r="G42" s="26" t="s">
        <v>825</v>
      </c>
      <c r="H42" s="28" t="s">
        <v>136</v>
      </c>
      <c r="I42" s="28" t="s">
        <v>136</v>
      </c>
      <c r="J42" s="28" t="s">
        <v>160</v>
      </c>
      <c r="K42" s="141">
        <v>3.56</v>
      </c>
      <c r="L42" s="100"/>
      <c r="M42" s="100"/>
      <c r="N42" s="36">
        <v>0.3</v>
      </c>
      <c r="O42" s="37">
        <f t="shared" si="2"/>
        <v>8330400</v>
      </c>
    </row>
    <row r="43" spans="1:15" ht="22.5" customHeight="1" x14ac:dyDescent="0.35">
      <c r="A43" s="33">
        <v>31</v>
      </c>
      <c r="B43" s="34" t="s">
        <v>1500</v>
      </c>
      <c r="C43" s="22" t="s">
        <v>21</v>
      </c>
      <c r="D43" s="42">
        <v>2696039385</v>
      </c>
      <c r="E43" s="24">
        <v>28104</v>
      </c>
      <c r="F43" s="41" t="s">
        <v>1501</v>
      </c>
      <c r="G43" s="26" t="s">
        <v>796</v>
      </c>
      <c r="H43" s="28" t="s">
        <v>136</v>
      </c>
      <c r="I43" s="28" t="s">
        <v>136</v>
      </c>
      <c r="J43" s="28" t="s">
        <v>160</v>
      </c>
      <c r="K43" s="141">
        <v>3.56</v>
      </c>
      <c r="L43" s="100"/>
      <c r="M43" s="100"/>
      <c r="N43" s="36">
        <v>0.3</v>
      </c>
      <c r="O43" s="37">
        <f t="shared" si="2"/>
        <v>8330400</v>
      </c>
    </row>
    <row r="44" spans="1:15" ht="22.5" customHeight="1" x14ac:dyDescent="0.35">
      <c r="A44" s="33">
        <v>32</v>
      </c>
      <c r="B44" s="34" t="s">
        <v>1224</v>
      </c>
      <c r="C44" s="22" t="s">
        <v>21</v>
      </c>
      <c r="D44" s="42">
        <v>2696039417</v>
      </c>
      <c r="E44" s="24">
        <v>27794</v>
      </c>
      <c r="F44" s="25" t="s">
        <v>1502</v>
      </c>
      <c r="G44" s="26" t="s">
        <v>1503</v>
      </c>
      <c r="H44" s="28" t="s">
        <v>136</v>
      </c>
      <c r="I44" s="28" t="s">
        <v>136</v>
      </c>
      <c r="J44" s="22" t="s">
        <v>160</v>
      </c>
      <c r="K44" s="100">
        <v>3.56</v>
      </c>
      <c r="L44" s="100"/>
      <c r="M44" s="100"/>
      <c r="N44" s="36">
        <v>0.3</v>
      </c>
      <c r="O44" s="37">
        <f t="shared" si="2"/>
        <v>8330400</v>
      </c>
    </row>
    <row r="45" spans="1:15" ht="22.5" customHeight="1" x14ac:dyDescent="0.35">
      <c r="A45" s="38">
        <v>33</v>
      </c>
      <c r="B45" s="34" t="s">
        <v>631</v>
      </c>
      <c r="C45" s="22" t="s">
        <v>21</v>
      </c>
      <c r="D45" s="45">
        <v>3416001769</v>
      </c>
      <c r="E45" s="40">
        <v>31063</v>
      </c>
      <c r="F45" s="41" t="s">
        <v>1504</v>
      </c>
      <c r="G45" s="26" t="s">
        <v>1505</v>
      </c>
      <c r="H45" s="28" t="s">
        <v>136</v>
      </c>
      <c r="I45" s="28" t="s">
        <v>136</v>
      </c>
      <c r="J45" s="22" t="s">
        <v>175</v>
      </c>
      <c r="K45" s="100">
        <v>2.5499999999999998</v>
      </c>
      <c r="L45" s="100"/>
      <c r="M45" s="100"/>
      <c r="N45" s="36">
        <v>0.3</v>
      </c>
      <c r="O45" s="37">
        <f t="shared" si="2"/>
        <v>5967000</v>
      </c>
    </row>
    <row r="46" spans="1:15" ht="22.5" customHeight="1" x14ac:dyDescent="0.35">
      <c r="A46" s="33">
        <v>34</v>
      </c>
      <c r="B46" s="34" t="s">
        <v>1506</v>
      </c>
      <c r="C46" s="22"/>
      <c r="D46" s="209">
        <v>3416025373</v>
      </c>
      <c r="E46" s="24" t="s">
        <v>1507</v>
      </c>
      <c r="F46" s="41" t="s">
        <v>1508</v>
      </c>
      <c r="G46" s="26" t="s">
        <v>563</v>
      </c>
      <c r="H46" s="28" t="s">
        <v>136</v>
      </c>
      <c r="I46" s="28" t="s">
        <v>136</v>
      </c>
      <c r="J46" s="22" t="s">
        <v>175</v>
      </c>
      <c r="K46" s="100">
        <v>2.5499999999999998</v>
      </c>
      <c r="L46" s="100"/>
      <c r="M46" s="100"/>
      <c r="N46" s="36">
        <v>0.3</v>
      </c>
      <c r="O46" s="37">
        <f t="shared" si="2"/>
        <v>5967000</v>
      </c>
    </row>
    <row r="47" spans="1:15" ht="22.5" customHeight="1" x14ac:dyDescent="0.35">
      <c r="A47" s="33">
        <v>35</v>
      </c>
      <c r="B47" s="34" t="s">
        <v>1509</v>
      </c>
      <c r="C47" s="22"/>
      <c r="D47" s="42">
        <v>2601004229</v>
      </c>
      <c r="E47" s="24" t="s">
        <v>1510</v>
      </c>
      <c r="F47" s="25" t="s">
        <v>1511</v>
      </c>
      <c r="G47" s="26" t="s">
        <v>25</v>
      </c>
      <c r="H47" s="28" t="s">
        <v>136</v>
      </c>
      <c r="I47" s="28" t="s">
        <v>136</v>
      </c>
      <c r="J47" s="28" t="s">
        <v>160</v>
      </c>
      <c r="K47" s="141">
        <v>3.56</v>
      </c>
      <c r="L47" s="100"/>
      <c r="M47" s="100"/>
      <c r="N47" s="36">
        <v>0.3</v>
      </c>
      <c r="O47" s="37">
        <f t="shared" si="2"/>
        <v>8330400</v>
      </c>
    </row>
    <row r="48" spans="1:15" ht="22.5" customHeight="1" x14ac:dyDescent="0.35">
      <c r="A48" s="46"/>
      <c r="B48" s="101" t="s">
        <v>1512</v>
      </c>
      <c r="C48" s="35"/>
      <c r="D48" s="49"/>
      <c r="E48" s="115"/>
      <c r="F48" s="50"/>
      <c r="G48" s="39"/>
      <c r="H48" s="55"/>
      <c r="I48" s="55"/>
      <c r="J48" s="52"/>
      <c r="K48" s="160"/>
      <c r="L48" s="159"/>
      <c r="M48" s="159"/>
      <c r="N48" s="52"/>
      <c r="O48" s="53"/>
    </row>
    <row r="49" spans="1:15" ht="22.5" customHeight="1" x14ac:dyDescent="0.35">
      <c r="A49" s="38">
        <v>36</v>
      </c>
      <c r="B49" s="34" t="s">
        <v>1513</v>
      </c>
      <c r="C49" s="22"/>
      <c r="D49" s="42">
        <v>2606000070</v>
      </c>
      <c r="E49" s="24">
        <v>30530</v>
      </c>
      <c r="F49" s="25" t="s">
        <v>1514</v>
      </c>
      <c r="G49" s="26" t="s">
        <v>1515</v>
      </c>
      <c r="H49" s="28" t="s">
        <v>145</v>
      </c>
      <c r="I49" s="28" t="s">
        <v>27</v>
      </c>
      <c r="J49" s="22" t="s">
        <v>96</v>
      </c>
      <c r="K49" s="100">
        <v>3.58</v>
      </c>
      <c r="L49" s="100"/>
      <c r="M49" s="100">
        <v>0.2</v>
      </c>
      <c r="N49" s="36">
        <v>0.3</v>
      </c>
      <c r="O49" s="37">
        <f t="shared" ref="O49:O67" si="3">(K49+L49+M49)*2340000</f>
        <v>8845200</v>
      </c>
    </row>
    <row r="50" spans="1:15" ht="22.5" customHeight="1" x14ac:dyDescent="0.35">
      <c r="A50" s="33">
        <v>37</v>
      </c>
      <c r="B50" s="34" t="s">
        <v>1516</v>
      </c>
      <c r="C50" s="22"/>
      <c r="D50" s="23" t="s">
        <v>1517</v>
      </c>
      <c r="E50" s="24">
        <v>29519</v>
      </c>
      <c r="F50" s="41" t="s">
        <v>1518</v>
      </c>
      <c r="G50" s="26">
        <v>44440</v>
      </c>
      <c r="H50" s="28" t="s">
        <v>1519</v>
      </c>
      <c r="I50" s="28" t="s">
        <v>1520</v>
      </c>
      <c r="J50" s="22" t="s">
        <v>63</v>
      </c>
      <c r="K50" s="100">
        <v>2.96</v>
      </c>
      <c r="L50" s="100"/>
      <c r="M50" s="100">
        <v>0.1</v>
      </c>
      <c r="N50" s="36">
        <v>0.3</v>
      </c>
      <c r="O50" s="37">
        <f t="shared" si="3"/>
        <v>7160400</v>
      </c>
    </row>
    <row r="51" spans="1:15" ht="22.5" customHeight="1" x14ac:dyDescent="0.35">
      <c r="A51" s="33">
        <v>38</v>
      </c>
      <c r="B51" s="34" t="s">
        <v>1521</v>
      </c>
      <c r="C51" s="22" t="s">
        <v>21</v>
      </c>
      <c r="D51" s="42">
        <v>3413004599</v>
      </c>
      <c r="E51" s="40">
        <v>30994</v>
      </c>
      <c r="F51" s="41" t="s">
        <v>1522</v>
      </c>
      <c r="G51" s="26" t="s">
        <v>387</v>
      </c>
      <c r="H51" s="28" t="s">
        <v>136</v>
      </c>
      <c r="I51" s="28" t="s">
        <v>136</v>
      </c>
      <c r="J51" s="28" t="s">
        <v>160</v>
      </c>
      <c r="K51" s="141">
        <v>3.56</v>
      </c>
      <c r="L51" s="141"/>
      <c r="M51" s="141"/>
      <c r="N51" s="36">
        <v>0.3</v>
      </c>
      <c r="O51" s="37">
        <f t="shared" si="3"/>
        <v>8330400</v>
      </c>
    </row>
    <row r="52" spans="1:15" ht="22.5" customHeight="1" x14ac:dyDescent="0.35">
      <c r="A52" s="38">
        <v>39</v>
      </c>
      <c r="B52" s="34" t="s">
        <v>1523</v>
      </c>
      <c r="C52" s="22" t="s">
        <v>21</v>
      </c>
      <c r="D52" s="42">
        <v>2699043189</v>
      </c>
      <c r="E52" s="24">
        <v>25481</v>
      </c>
      <c r="F52" s="25" t="s">
        <v>1524</v>
      </c>
      <c r="G52" s="26" t="s">
        <v>1525</v>
      </c>
      <c r="H52" s="28" t="s">
        <v>136</v>
      </c>
      <c r="I52" s="28" t="s">
        <v>136</v>
      </c>
      <c r="J52" s="22" t="s">
        <v>164</v>
      </c>
      <c r="K52" s="100">
        <v>4.2</v>
      </c>
      <c r="L52" s="100"/>
      <c r="M52" s="100"/>
      <c r="N52" s="36">
        <v>0.3</v>
      </c>
      <c r="O52" s="37">
        <f t="shared" si="3"/>
        <v>9828000</v>
      </c>
    </row>
    <row r="53" spans="1:15" ht="22.5" customHeight="1" x14ac:dyDescent="0.35">
      <c r="A53" s="33">
        <v>40</v>
      </c>
      <c r="B53" s="34" t="s">
        <v>1526</v>
      </c>
      <c r="C53" s="22" t="s">
        <v>21</v>
      </c>
      <c r="D53" s="42">
        <v>2696025640</v>
      </c>
      <c r="E53" s="24">
        <v>26125</v>
      </c>
      <c r="F53" s="25" t="s">
        <v>1527</v>
      </c>
      <c r="G53" s="26" t="s">
        <v>595</v>
      </c>
      <c r="H53" s="28" t="s">
        <v>225</v>
      </c>
      <c r="I53" s="28" t="s">
        <v>225</v>
      </c>
      <c r="J53" s="22" t="s">
        <v>164</v>
      </c>
      <c r="K53" s="100">
        <v>4.2</v>
      </c>
      <c r="L53" s="100"/>
      <c r="M53" s="100"/>
      <c r="N53" s="36">
        <v>0.3</v>
      </c>
      <c r="O53" s="37">
        <f t="shared" si="3"/>
        <v>9828000</v>
      </c>
    </row>
    <row r="54" spans="1:15" ht="22.5" customHeight="1" x14ac:dyDescent="0.35">
      <c r="A54" s="33">
        <v>41</v>
      </c>
      <c r="B54" s="34" t="s">
        <v>1528</v>
      </c>
      <c r="C54" s="22"/>
      <c r="D54" s="42">
        <v>2601004226</v>
      </c>
      <c r="E54" s="24">
        <v>27334</v>
      </c>
      <c r="F54" s="25" t="s">
        <v>1529</v>
      </c>
      <c r="G54" s="26" t="s">
        <v>1530</v>
      </c>
      <c r="H54" s="28" t="s">
        <v>225</v>
      </c>
      <c r="I54" s="28" t="s">
        <v>225</v>
      </c>
      <c r="J54" s="22" t="s">
        <v>160</v>
      </c>
      <c r="K54" s="100">
        <v>3.74</v>
      </c>
      <c r="L54" s="100"/>
      <c r="M54" s="100"/>
      <c r="N54" s="36">
        <v>0.3</v>
      </c>
      <c r="O54" s="37">
        <f t="shared" si="3"/>
        <v>8751600</v>
      </c>
    </row>
    <row r="55" spans="1:15" ht="22.5" customHeight="1" x14ac:dyDescent="0.35">
      <c r="A55" s="38">
        <v>42</v>
      </c>
      <c r="B55" s="34" t="s">
        <v>1531</v>
      </c>
      <c r="C55" s="22"/>
      <c r="D55" s="42">
        <v>2696039424</v>
      </c>
      <c r="E55" s="24">
        <v>25381</v>
      </c>
      <c r="F55" s="25" t="s">
        <v>1532</v>
      </c>
      <c r="G55" s="26" t="s">
        <v>522</v>
      </c>
      <c r="H55" s="28" t="s">
        <v>272</v>
      </c>
      <c r="I55" s="28" t="s">
        <v>225</v>
      </c>
      <c r="J55" s="22" t="s">
        <v>164</v>
      </c>
      <c r="K55" s="100">
        <v>4.2</v>
      </c>
      <c r="L55" s="100"/>
      <c r="M55" s="100">
        <v>0.1</v>
      </c>
      <c r="N55" s="36">
        <v>0.3</v>
      </c>
      <c r="O55" s="37">
        <f t="shared" si="3"/>
        <v>10062000</v>
      </c>
    </row>
    <row r="56" spans="1:15" ht="22.5" customHeight="1" x14ac:dyDescent="0.35">
      <c r="A56" s="33">
        <v>43</v>
      </c>
      <c r="B56" s="34" t="s">
        <v>1533</v>
      </c>
      <c r="C56" s="22"/>
      <c r="D56" s="42">
        <v>2601004227</v>
      </c>
      <c r="E56" s="24">
        <v>28554</v>
      </c>
      <c r="F56" s="25" t="s">
        <v>1534</v>
      </c>
      <c r="G56" s="26" t="s">
        <v>25</v>
      </c>
      <c r="H56" s="28" t="s">
        <v>136</v>
      </c>
      <c r="I56" s="28" t="s">
        <v>136</v>
      </c>
      <c r="J56" s="28" t="s">
        <v>160</v>
      </c>
      <c r="K56" s="141">
        <v>3.56</v>
      </c>
      <c r="L56" s="100"/>
      <c r="M56" s="100"/>
      <c r="N56" s="36">
        <v>0.3</v>
      </c>
      <c r="O56" s="37">
        <f t="shared" si="3"/>
        <v>8330400</v>
      </c>
    </row>
    <row r="57" spans="1:15" ht="22.5" customHeight="1" x14ac:dyDescent="0.35">
      <c r="A57" s="33">
        <v>44</v>
      </c>
      <c r="B57" s="34" t="s">
        <v>1480</v>
      </c>
      <c r="C57" s="28"/>
      <c r="D57" s="42">
        <v>2698041097</v>
      </c>
      <c r="E57" s="24" t="s">
        <v>1535</v>
      </c>
      <c r="F57" s="25" t="s">
        <v>1536</v>
      </c>
      <c r="G57" s="26" t="s">
        <v>1482</v>
      </c>
      <c r="H57" s="28" t="s">
        <v>136</v>
      </c>
      <c r="I57" s="28" t="s">
        <v>136</v>
      </c>
      <c r="J57" s="28" t="s">
        <v>160</v>
      </c>
      <c r="K57" s="141">
        <v>3.56</v>
      </c>
      <c r="L57" s="141"/>
      <c r="M57" s="141"/>
      <c r="N57" s="36">
        <v>0.3</v>
      </c>
      <c r="O57" s="37">
        <f t="shared" si="3"/>
        <v>8330400</v>
      </c>
    </row>
    <row r="58" spans="1:15" ht="22.5" customHeight="1" x14ac:dyDescent="0.35">
      <c r="A58" s="38">
        <v>45</v>
      </c>
      <c r="B58" s="34" t="s">
        <v>1537</v>
      </c>
      <c r="C58" s="22" t="s">
        <v>21</v>
      </c>
      <c r="D58" s="23" t="s">
        <v>1538</v>
      </c>
      <c r="E58" s="24">
        <v>26104</v>
      </c>
      <c r="F58" s="25" t="s">
        <v>1539</v>
      </c>
      <c r="G58" s="26" t="s">
        <v>1540</v>
      </c>
      <c r="H58" s="28" t="s">
        <v>136</v>
      </c>
      <c r="I58" s="28" t="s">
        <v>136</v>
      </c>
      <c r="J58" s="22" t="s">
        <v>164</v>
      </c>
      <c r="K58" s="100">
        <v>4.2</v>
      </c>
      <c r="L58" s="100"/>
      <c r="M58" s="100"/>
      <c r="N58" s="36">
        <v>0.3</v>
      </c>
      <c r="O58" s="37">
        <f t="shared" si="3"/>
        <v>9828000</v>
      </c>
    </row>
    <row r="59" spans="1:15" ht="22.5" customHeight="1" x14ac:dyDescent="0.35">
      <c r="A59" s="33">
        <v>46</v>
      </c>
      <c r="B59" s="34" t="s">
        <v>1541</v>
      </c>
      <c r="C59" s="22" t="s">
        <v>21</v>
      </c>
      <c r="D59" s="42">
        <v>2696039384</v>
      </c>
      <c r="E59" s="24">
        <v>26940</v>
      </c>
      <c r="F59" s="118" t="s">
        <v>1542</v>
      </c>
      <c r="G59" s="26" t="s">
        <v>796</v>
      </c>
      <c r="H59" s="28" t="s">
        <v>136</v>
      </c>
      <c r="I59" s="28" t="s">
        <v>136</v>
      </c>
      <c r="J59" s="22" t="s">
        <v>164</v>
      </c>
      <c r="K59" s="100">
        <v>4.2</v>
      </c>
      <c r="L59" s="100"/>
      <c r="M59" s="100"/>
      <c r="N59" s="36">
        <v>0.3</v>
      </c>
      <c r="O59" s="37">
        <f t="shared" si="3"/>
        <v>9828000</v>
      </c>
    </row>
    <row r="60" spans="1:15" ht="22.5" customHeight="1" x14ac:dyDescent="0.35">
      <c r="A60" s="33">
        <v>47</v>
      </c>
      <c r="B60" s="34" t="s">
        <v>1543</v>
      </c>
      <c r="C60" s="22"/>
      <c r="D60" s="42">
        <v>2696025626</v>
      </c>
      <c r="E60" s="24" t="s">
        <v>1544</v>
      </c>
      <c r="F60" s="25" t="s">
        <v>1545</v>
      </c>
      <c r="G60" s="26" t="s">
        <v>238</v>
      </c>
      <c r="H60" s="28" t="s">
        <v>129</v>
      </c>
      <c r="I60" s="28" t="s">
        <v>129</v>
      </c>
      <c r="J60" s="22" t="s">
        <v>160</v>
      </c>
      <c r="K60" s="100">
        <v>3.74</v>
      </c>
      <c r="L60" s="100"/>
      <c r="M60" s="100"/>
      <c r="N60" s="36">
        <v>0.3</v>
      </c>
      <c r="O60" s="37">
        <f t="shared" si="3"/>
        <v>8751600</v>
      </c>
    </row>
    <row r="61" spans="1:15" ht="22.5" customHeight="1" x14ac:dyDescent="0.35">
      <c r="A61" s="38">
        <v>48</v>
      </c>
      <c r="B61" s="34" t="s">
        <v>1546</v>
      </c>
      <c r="C61" s="22" t="s">
        <v>21</v>
      </c>
      <c r="D61" s="42">
        <v>2696039375</v>
      </c>
      <c r="E61" s="24">
        <v>26733</v>
      </c>
      <c r="F61" s="25" t="s">
        <v>1547</v>
      </c>
      <c r="G61" s="26" t="s">
        <v>1548</v>
      </c>
      <c r="H61" s="28" t="s">
        <v>136</v>
      </c>
      <c r="I61" s="28" t="s">
        <v>136</v>
      </c>
      <c r="J61" s="22" t="s">
        <v>160</v>
      </c>
      <c r="K61" s="100">
        <v>3.56</v>
      </c>
      <c r="L61" s="100"/>
      <c r="M61" s="100"/>
      <c r="N61" s="36">
        <v>0.3</v>
      </c>
      <c r="O61" s="37">
        <f t="shared" si="3"/>
        <v>8330400</v>
      </c>
    </row>
    <row r="62" spans="1:15" ht="22.5" customHeight="1" x14ac:dyDescent="0.35">
      <c r="A62" s="33">
        <v>49</v>
      </c>
      <c r="B62" s="34" t="s">
        <v>1549</v>
      </c>
      <c r="C62" s="22"/>
      <c r="D62" s="42">
        <v>2606006056</v>
      </c>
      <c r="E62" s="24">
        <v>30422</v>
      </c>
      <c r="F62" s="25" t="s">
        <v>1550</v>
      </c>
      <c r="G62" s="26" t="s">
        <v>628</v>
      </c>
      <c r="H62" s="28" t="s">
        <v>136</v>
      </c>
      <c r="I62" s="28" t="s">
        <v>136</v>
      </c>
      <c r="J62" s="28" t="s">
        <v>160</v>
      </c>
      <c r="K62" s="141">
        <v>3.56</v>
      </c>
      <c r="L62" s="100"/>
      <c r="M62" s="100"/>
      <c r="N62" s="36">
        <v>0.3</v>
      </c>
      <c r="O62" s="37">
        <f t="shared" si="3"/>
        <v>8330400</v>
      </c>
    </row>
    <row r="63" spans="1:15" ht="22.5" customHeight="1" x14ac:dyDescent="0.35">
      <c r="A63" s="33">
        <v>50</v>
      </c>
      <c r="B63" s="34" t="s">
        <v>1551</v>
      </c>
      <c r="C63" s="22" t="s">
        <v>21</v>
      </c>
      <c r="D63" s="42">
        <v>2607002119</v>
      </c>
      <c r="E63" s="24">
        <v>30935</v>
      </c>
      <c r="F63" s="25" t="s">
        <v>1552</v>
      </c>
      <c r="G63" s="26" t="s">
        <v>628</v>
      </c>
      <c r="H63" s="28" t="s">
        <v>136</v>
      </c>
      <c r="I63" s="28" t="s">
        <v>136</v>
      </c>
      <c r="J63" s="28" t="s">
        <v>160</v>
      </c>
      <c r="K63" s="141">
        <v>3.56</v>
      </c>
      <c r="L63" s="100"/>
      <c r="M63" s="100"/>
      <c r="N63" s="36">
        <v>0.3</v>
      </c>
      <c r="O63" s="37">
        <f t="shared" si="3"/>
        <v>8330400</v>
      </c>
    </row>
    <row r="64" spans="1:15" ht="22.5" customHeight="1" x14ac:dyDescent="0.35">
      <c r="A64" s="38">
        <v>51</v>
      </c>
      <c r="B64" s="34" t="s">
        <v>1553</v>
      </c>
      <c r="C64" s="22" t="s">
        <v>21</v>
      </c>
      <c r="D64" s="23" t="s">
        <v>1554</v>
      </c>
      <c r="E64" s="24" t="s">
        <v>1555</v>
      </c>
      <c r="F64" s="41" t="s">
        <v>1556</v>
      </c>
      <c r="G64" s="26" t="s">
        <v>1557</v>
      </c>
      <c r="H64" s="28" t="s">
        <v>225</v>
      </c>
      <c r="I64" s="28" t="s">
        <v>225</v>
      </c>
      <c r="J64" s="22" t="s">
        <v>175</v>
      </c>
      <c r="K64" s="100">
        <v>2.5499999999999998</v>
      </c>
      <c r="L64" s="100"/>
      <c r="M64" s="100"/>
      <c r="N64" s="36">
        <v>0.3</v>
      </c>
      <c r="O64" s="37">
        <f t="shared" si="3"/>
        <v>5967000</v>
      </c>
    </row>
    <row r="65" spans="1:15" ht="22.5" customHeight="1" x14ac:dyDescent="0.35">
      <c r="A65" s="33">
        <v>52</v>
      </c>
      <c r="B65" s="34" t="s">
        <v>1558</v>
      </c>
      <c r="C65" s="22"/>
      <c r="D65" s="54" t="s">
        <v>1559</v>
      </c>
      <c r="E65" s="40">
        <v>32920</v>
      </c>
      <c r="F65" s="41" t="s">
        <v>1560</v>
      </c>
      <c r="G65" s="26" t="s">
        <v>1451</v>
      </c>
      <c r="H65" s="28" t="s">
        <v>225</v>
      </c>
      <c r="I65" s="28" t="s">
        <v>225</v>
      </c>
      <c r="J65" s="22" t="s">
        <v>175</v>
      </c>
      <c r="K65" s="100">
        <v>2.5499999999999998</v>
      </c>
      <c r="L65" s="100"/>
      <c r="M65" s="100"/>
      <c r="N65" s="36">
        <v>0.3</v>
      </c>
      <c r="O65" s="37">
        <f t="shared" si="3"/>
        <v>5967000</v>
      </c>
    </row>
    <row r="66" spans="1:15" ht="22.5" customHeight="1" x14ac:dyDescent="0.35">
      <c r="A66" s="33">
        <v>53</v>
      </c>
      <c r="B66" s="34" t="s">
        <v>1561</v>
      </c>
      <c r="C66" s="22"/>
      <c r="D66" s="42">
        <v>2607002125</v>
      </c>
      <c r="E66" s="24" t="s">
        <v>1562</v>
      </c>
      <c r="F66" s="25" t="s">
        <v>1563</v>
      </c>
      <c r="G66" s="26" t="s">
        <v>628</v>
      </c>
      <c r="H66" s="28" t="s">
        <v>225</v>
      </c>
      <c r="I66" s="28" t="s">
        <v>225</v>
      </c>
      <c r="J66" s="28" t="s">
        <v>130</v>
      </c>
      <c r="K66" s="141">
        <v>3.01</v>
      </c>
      <c r="L66" s="100"/>
      <c r="M66" s="100"/>
      <c r="N66" s="36">
        <v>0.3</v>
      </c>
      <c r="O66" s="37">
        <f t="shared" si="3"/>
        <v>7043399.9999999991</v>
      </c>
    </row>
    <row r="67" spans="1:15" ht="22.5" customHeight="1" x14ac:dyDescent="0.35">
      <c r="A67" s="38">
        <v>54</v>
      </c>
      <c r="B67" s="34" t="s">
        <v>1564</v>
      </c>
      <c r="C67" s="22"/>
      <c r="D67" s="42">
        <v>2696039369</v>
      </c>
      <c r="E67" s="24">
        <v>27177</v>
      </c>
      <c r="F67" s="25" t="s">
        <v>1565</v>
      </c>
      <c r="G67" s="26" t="s">
        <v>47</v>
      </c>
      <c r="H67" s="28" t="s">
        <v>225</v>
      </c>
      <c r="I67" s="28" t="s">
        <v>225</v>
      </c>
      <c r="J67" s="22" t="s">
        <v>160</v>
      </c>
      <c r="K67" s="100">
        <v>3.56</v>
      </c>
      <c r="L67" s="100"/>
      <c r="M67" s="100"/>
      <c r="N67" s="36">
        <v>0.3</v>
      </c>
      <c r="O67" s="37">
        <f t="shared" si="3"/>
        <v>8330400</v>
      </c>
    </row>
    <row r="68" spans="1:15" ht="22.5" customHeight="1" x14ac:dyDescent="0.35">
      <c r="A68" s="39"/>
      <c r="B68" s="101" t="s">
        <v>1566</v>
      </c>
      <c r="C68" s="35"/>
      <c r="D68" s="49"/>
      <c r="E68" s="115"/>
      <c r="F68" s="50"/>
      <c r="G68" s="39"/>
      <c r="H68" s="55"/>
      <c r="I68" s="55"/>
      <c r="J68" s="39"/>
      <c r="K68" s="159"/>
      <c r="L68" s="159"/>
      <c r="M68" s="159"/>
      <c r="N68" s="52"/>
      <c r="O68" s="53"/>
    </row>
    <row r="69" spans="1:15" ht="22.5" customHeight="1" x14ac:dyDescent="0.35">
      <c r="A69" s="33">
        <v>55</v>
      </c>
      <c r="B69" s="34" t="s">
        <v>1567</v>
      </c>
      <c r="C69" s="22"/>
      <c r="D69" s="42">
        <v>2696039406</v>
      </c>
      <c r="E69" s="24">
        <v>24422</v>
      </c>
      <c r="F69" s="25" t="s">
        <v>1568</v>
      </c>
      <c r="G69" s="26" t="s">
        <v>1025</v>
      </c>
      <c r="H69" s="28" t="s">
        <v>145</v>
      </c>
      <c r="I69" s="28" t="s">
        <v>27</v>
      </c>
      <c r="J69" s="22" t="s">
        <v>50</v>
      </c>
      <c r="K69" s="100">
        <v>4.51</v>
      </c>
      <c r="L69" s="100"/>
      <c r="M69" s="100">
        <v>0.2</v>
      </c>
      <c r="N69" s="36">
        <v>0.3</v>
      </c>
      <c r="O69" s="37">
        <f t="shared" ref="O69:O84" si="4">(K69+L69+M69)*2340000</f>
        <v>11021400</v>
      </c>
    </row>
    <row r="70" spans="1:15" ht="22.5" customHeight="1" x14ac:dyDescent="0.35">
      <c r="A70" s="33">
        <v>56</v>
      </c>
      <c r="B70" s="34" t="s">
        <v>1569</v>
      </c>
      <c r="C70" s="22" t="s">
        <v>21</v>
      </c>
      <c r="D70" s="42">
        <v>2607002117</v>
      </c>
      <c r="E70" s="24">
        <v>30958</v>
      </c>
      <c r="F70" s="25" t="s">
        <v>1570</v>
      </c>
      <c r="G70" s="26" t="s">
        <v>628</v>
      </c>
      <c r="H70" s="28" t="s">
        <v>1571</v>
      </c>
      <c r="I70" s="28" t="s">
        <v>27</v>
      </c>
      <c r="J70" s="22" t="s">
        <v>96</v>
      </c>
      <c r="K70" s="100">
        <v>3.58</v>
      </c>
      <c r="L70" s="100"/>
      <c r="M70" s="100"/>
      <c r="N70" s="36">
        <v>0.3</v>
      </c>
      <c r="O70" s="37">
        <f t="shared" si="4"/>
        <v>8377200</v>
      </c>
    </row>
    <row r="71" spans="1:15" ht="22.5" customHeight="1" x14ac:dyDescent="0.35">
      <c r="A71" s="38">
        <v>57</v>
      </c>
      <c r="B71" s="34" t="s">
        <v>1572</v>
      </c>
      <c r="C71" s="22"/>
      <c r="D71" s="42">
        <v>2601004228</v>
      </c>
      <c r="E71" s="24">
        <v>26938</v>
      </c>
      <c r="F71" s="25" t="s">
        <v>1573</v>
      </c>
      <c r="G71" s="26" t="s">
        <v>245</v>
      </c>
      <c r="H71" s="28" t="s">
        <v>136</v>
      </c>
      <c r="I71" s="28" t="s">
        <v>136</v>
      </c>
      <c r="J71" s="28" t="s">
        <v>160</v>
      </c>
      <c r="K71" s="100">
        <v>3.56</v>
      </c>
      <c r="L71" s="100"/>
      <c r="M71" s="100"/>
      <c r="N71" s="36">
        <v>0.3</v>
      </c>
      <c r="O71" s="37">
        <f t="shared" si="4"/>
        <v>8330400</v>
      </c>
    </row>
    <row r="72" spans="1:15" ht="22.5" customHeight="1" x14ac:dyDescent="0.35">
      <c r="A72" s="33">
        <v>58</v>
      </c>
      <c r="B72" s="34" t="s">
        <v>1574</v>
      </c>
      <c r="C72" s="22" t="s">
        <v>21</v>
      </c>
      <c r="D72" s="42">
        <v>2696039378</v>
      </c>
      <c r="E72" s="24">
        <v>27818</v>
      </c>
      <c r="F72" s="25" t="s">
        <v>1575</v>
      </c>
      <c r="G72" s="26" t="s">
        <v>620</v>
      </c>
      <c r="H72" s="28" t="s">
        <v>225</v>
      </c>
      <c r="I72" s="28" t="s">
        <v>225</v>
      </c>
      <c r="J72" s="22" t="s">
        <v>160</v>
      </c>
      <c r="K72" s="100">
        <v>3.74</v>
      </c>
      <c r="L72" s="100"/>
      <c r="M72" s="100"/>
      <c r="N72" s="36">
        <v>0.3</v>
      </c>
      <c r="O72" s="37">
        <f t="shared" si="4"/>
        <v>8751600</v>
      </c>
    </row>
    <row r="73" spans="1:15" ht="22.5" customHeight="1" x14ac:dyDescent="0.35">
      <c r="A73" s="33">
        <v>59</v>
      </c>
      <c r="B73" s="34" t="s">
        <v>1576</v>
      </c>
      <c r="C73" s="22" t="s">
        <v>21</v>
      </c>
      <c r="D73" s="42">
        <v>2696025666</v>
      </c>
      <c r="E73" s="24">
        <v>26348</v>
      </c>
      <c r="F73" s="25" t="s">
        <v>1577</v>
      </c>
      <c r="G73" s="26" t="s">
        <v>1491</v>
      </c>
      <c r="H73" s="28" t="s">
        <v>225</v>
      </c>
      <c r="I73" s="28" t="s">
        <v>225</v>
      </c>
      <c r="J73" s="22" t="s">
        <v>164</v>
      </c>
      <c r="K73" s="100">
        <v>4.2</v>
      </c>
      <c r="L73" s="100"/>
      <c r="M73" s="100"/>
      <c r="N73" s="36">
        <v>0.3</v>
      </c>
      <c r="O73" s="37">
        <f t="shared" si="4"/>
        <v>9828000</v>
      </c>
    </row>
    <row r="74" spans="1:15" ht="22.5" customHeight="1" x14ac:dyDescent="0.35">
      <c r="A74" s="38">
        <v>60</v>
      </c>
      <c r="B74" s="34" t="s">
        <v>1578</v>
      </c>
      <c r="C74" s="22" t="s">
        <v>21</v>
      </c>
      <c r="D74" s="42">
        <v>2604000543</v>
      </c>
      <c r="E74" s="24" t="s">
        <v>1579</v>
      </c>
      <c r="F74" s="25" t="s">
        <v>1580</v>
      </c>
      <c r="G74" s="26" t="s">
        <v>702</v>
      </c>
      <c r="H74" s="28" t="s">
        <v>225</v>
      </c>
      <c r="I74" s="28" t="s">
        <v>225</v>
      </c>
      <c r="J74" s="22" t="s">
        <v>160</v>
      </c>
      <c r="K74" s="100">
        <v>3.74</v>
      </c>
      <c r="L74" s="100"/>
      <c r="M74" s="100"/>
      <c r="N74" s="36">
        <v>0.3</v>
      </c>
      <c r="O74" s="37">
        <f t="shared" si="4"/>
        <v>8751600</v>
      </c>
    </row>
    <row r="75" spans="1:15" ht="22.5" customHeight="1" x14ac:dyDescent="0.35">
      <c r="A75" s="33">
        <v>61</v>
      </c>
      <c r="B75" s="34" t="s">
        <v>1581</v>
      </c>
      <c r="C75" s="22" t="s">
        <v>21</v>
      </c>
      <c r="D75" s="23" t="s">
        <v>1582</v>
      </c>
      <c r="E75" s="24">
        <v>25905</v>
      </c>
      <c r="F75" s="25" t="s">
        <v>1583</v>
      </c>
      <c r="G75" s="26" t="s">
        <v>1491</v>
      </c>
      <c r="H75" s="28" t="s">
        <v>225</v>
      </c>
      <c r="I75" s="28" t="s">
        <v>225</v>
      </c>
      <c r="J75" s="22" t="s">
        <v>164</v>
      </c>
      <c r="K75" s="100">
        <v>4.4000000000000004</v>
      </c>
      <c r="L75" s="100"/>
      <c r="M75" s="100"/>
      <c r="N75" s="36">
        <v>0.3</v>
      </c>
      <c r="O75" s="37">
        <f t="shared" si="4"/>
        <v>10296000</v>
      </c>
    </row>
    <row r="76" spans="1:15" ht="22.5" customHeight="1" x14ac:dyDescent="0.35">
      <c r="A76" s="33">
        <v>62</v>
      </c>
      <c r="B76" s="34" t="s">
        <v>1584</v>
      </c>
      <c r="C76" s="22" t="s">
        <v>21</v>
      </c>
      <c r="D76" s="42">
        <v>2696039425</v>
      </c>
      <c r="E76" s="24">
        <v>28105</v>
      </c>
      <c r="F76" s="25" t="s">
        <v>1585</v>
      </c>
      <c r="G76" s="26" t="s">
        <v>522</v>
      </c>
      <c r="H76" s="28" t="s">
        <v>136</v>
      </c>
      <c r="I76" s="28" t="s">
        <v>136</v>
      </c>
      <c r="J76" s="28" t="s">
        <v>160</v>
      </c>
      <c r="K76" s="141">
        <v>3.56</v>
      </c>
      <c r="L76" s="100"/>
      <c r="M76" s="100"/>
      <c r="N76" s="36">
        <v>0.3</v>
      </c>
      <c r="O76" s="37">
        <f t="shared" si="4"/>
        <v>8330400</v>
      </c>
    </row>
    <row r="77" spans="1:15" ht="22.5" customHeight="1" x14ac:dyDescent="0.35">
      <c r="A77" s="38">
        <v>63</v>
      </c>
      <c r="B77" s="34" t="s">
        <v>1586</v>
      </c>
      <c r="C77" s="22" t="s">
        <v>21</v>
      </c>
      <c r="D77" s="42">
        <v>2607002114</v>
      </c>
      <c r="E77" s="24">
        <v>30529</v>
      </c>
      <c r="F77" s="25" t="s">
        <v>1587</v>
      </c>
      <c r="G77" s="26" t="s">
        <v>628</v>
      </c>
      <c r="H77" s="28" t="s">
        <v>136</v>
      </c>
      <c r="I77" s="28" t="s">
        <v>136</v>
      </c>
      <c r="J77" s="28" t="s">
        <v>160</v>
      </c>
      <c r="K77" s="141">
        <v>3.56</v>
      </c>
      <c r="L77" s="100"/>
      <c r="M77" s="100"/>
      <c r="N77" s="36">
        <v>0.3</v>
      </c>
      <c r="O77" s="37">
        <f t="shared" si="4"/>
        <v>8330400</v>
      </c>
    </row>
    <row r="78" spans="1:15" ht="22.5" customHeight="1" x14ac:dyDescent="0.35">
      <c r="A78" s="33">
        <v>64</v>
      </c>
      <c r="B78" s="34" t="s">
        <v>1588</v>
      </c>
      <c r="C78" s="22" t="s">
        <v>21</v>
      </c>
      <c r="D78" s="42">
        <v>2607002115</v>
      </c>
      <c r="E78" s="24">
        <v>30265</v>
      </c>
      <c r="F78" s="25" t="s">
        <v>1589</v>
      </c>
      <c r="G78" s="26" t="s">
        <v>628</v>
      </c>
      <c r="H78" s="28" t="s">
        <v>225</v>
      </c>
      <c r="I78" s="28" t="s">
        <v>225</v>
      </c>
      <c r="J78" s="28" t="s">
        <v>130</v>
      </c>
      <c r="K78" s="141">
        <v>3.01</v>
      </c>
      <c r="L78" s="100"/>
      <c r="M78" s="100"/>
      <c r="N78" s="36">
        <v>0.3</v>
      </c>
      <c r="O78" s="37">
        <f t="shared" si="4"/>
        <v>7043399.9999999991</v>
      </c>
    </row>
    <row r="79" spans="1:15" ht="22.5" customHeight="1" x14ac:dyDescent="0.35">
      <c r="A79" s="33">
        <v>65</v>
      </c>
      <c r="B79" s="34" t="s">
        <v>1590</v>
      </c>
      <c r="C79" s="44" t="s">
        <v>21</v>
      </c>
      <c r="D79" s="57">
        <v>2607002127</v>
      </c>
      <c r="E79" s="119">
        <v>27406</v>
      </c>
      <c r="F79" s="25" t="s">
        <v>1591</v>
      </c>
      <c r="G79" s="26" t="s">
        <v>628</v>
      </c>
      <c r="H79" s="43" t="s">
        <v>136</v>
      </c>
      <c r="I79" s="43" t="s">
        <v>136</v>
      </c>
      <c r="J79" s="28" t="s">
        <v>160</v>
      </c>
      <c r="K79" s="141">
        <v>3.56</v>
      </c>
      <c r="L79" s="157"/>
      <c r="M79" s="157"/>
      <c r="N79" s="36">
        <v>0.3</v>
      </c>
      <c r="O79" s="37">
        <f t="shared" si="4"/>
        <v>8330400</v>
      </c>
    </row>
    <row r="80" spans="1:15" ht="22.5" customHeight="1" x14ac:dyDescent="0.35">
      <c r="A80" s="38">
        <v>66</v>
      </c>
      <c r="B80" s="34" t="s">
        <v>1592</v>
      </c>
      <c r="C80" s="22"/>
      <c r="D80" s="54" t="s">
        <v>1593</v>
      </c>
      <c r="E80" s="40">
        <v>33087</v>
      </c>
      <c r="F80" s="41" t="s">
        <v>1594</v>
      </c>
      <c r="G80" s="26" t="s">
        <v>1595</v>
      </c>
      <c r="H80" s="28" t="s">
        <v>170</v>
      </c>
      <c r="I80" s="28" t="s">
        <v>355</v>
      </c>
      <c r="J80" s="22" t="s">
        <v>1596</v>
      </c>
      <c r="K80" s="100">
        <v>2.75</v>
      </c>
      <c r="L80" s="100"/>
      <c r="M80" s="100" t="s">
        <v>218</v>
      </c>
      <c r="N80" s="36">
        <v>0.3</v>
      </c>
      <c r="O80" s="37" t="e">
        <f t="shared" si="4"/>
        <v>#VALUE!</v>
      </c>
    </row>
    <row r="81" spans="1:15" ht="22.5" customHeight="1" x14ac:dyDescent="0.35">
      <c r="A81" s="33">
        <v>67</v>
      </c>
      <c r="B81" s="34" t="s">
        <v>1597</v>
      </c>
      <c r="C81" s="22"/>
      <c r="D81" s="42">
        <v>2696025656</v>
      </c>
      <c r="E81" s="24">
        <v>27185</v>
      </c>
      <c r="F81" s="25" t="s">
        <v>1598</v>
      </c>
      <c r="G81" s="26" t="s">
        <v>1599</v>
      </c>
      <c r="H81" s="28" t="s">
        <v>272</v>
      </c>
      <c r="I81" s="28" t="s">
        <v>225</v>
      </c>
      <c r="J81" s="22" t="s">
        <v>164</v>
      </c>
      <c r="K81" s="100">
        <v>4.4000000000000004</v>
      </c>
      <c r="L81" s="100"/>
      <c r="M81" s="100" t="s">
        <v>218</v>
      </c>
      <c r="N81" s="36">
        <v>0.3</v>
      </c>
      <c r="O81" s="37" t="e">
        <f t="shared" si="4"/>
        <v>#VALUE!</v>
      </c>
    </row>
    <row r="82" spans="1:15" ht="22.5" customHeight="1" x14ac:dyDescent="0.35">
      <c r="A82" s="33">
        <v>68</v>
      </c>
      <c r="B82" s="34" t="s">
        <v>1600</v>
      </c>
      <c r="C82" s="22"/>
      <c r="D82" s="23" t="s">
        <v>1601</v>
      </c>
      <c r="E82" s="24" t="s">
        <v>1602</v>
      </c>
      <c r="F82" s="41" t="s">
        <v>1603</v>
      </c>
      <c r="G82" s="26" t="s">
        <v>1604</v>
      </c>
      <c r="H82" s="28" t="s">
        <v>225</v>
      </c>
      <c r="I82" s="28" t="s">
        <v>225</v>
      </c>
      <c r="J82" s="22" t="s">
        <v>137</v>
      </c>
      <c r="K82" s="100">
        <v>2.16</v>
      </c>
      <c r="L82" s="100"/>
      <c r="M82" s="100"/>
      <c r="N82" s="36">
        <v>0.3</v>
      </c>
      <c r="O82" s="37">
        <f t="shared" si="4"/>
        <v>5054400</v>
      </c>
    </row>
    <row r="83" spans="1:15" ht="22.5" customHeight="1" x14ac:dyDescent="0.35">
      <c r="A83" s="38">
        <v>69</v>
      </c>
      <c r="B83" s="34" t="s">
        <v>1605</v>
      </c>
      <c r="C83" s="22"/>
      <c r="D83" s="42">
        <v>2601004225</v>
      </c>
      <c r="E83" s="24">
        <v>27248</v>
      </c>
      <c r="F83" s="41" t="s">
        <v>1606</v>
      </c>
      <c r="G83" s="26" t="s">
        <v>1607</v>
      </c>
      <c r="H83" s="28" t="s">
        <v>136</v>
      </c>
      <c r="I83" s="28" t="s">
        <v>136</v>
      </c>
      <c r="J83" s="28" t="s">
        <v>160</v>
      </c>
      <c r="K83" s="141">
        <v>3.56</v>
      </c>
      <c r="L83" s="100"/>
      <c r="M83" s="100"/>
      <c r="N83" s="36">
        <v>0.3</v>
      </c>
      <c r="O83" s="37">
        <f t="shared" si="4"/>
        <v>8330400</v>
      </c>
    </row>
    <row r="84" spans="1:15" ht="22.5" customHeight="1" x14ac:dyDescent="0.35">
      <c r="A84" s="33">
        <v>70</v>
      </c>
      <c r="B84" s="34" t="s">
        <v>1608</v>
      </c>
      <c r="C84" s="22"/>
      <c r="D84" s="42">
        <v>2603000386</v>
      </c>
      <c r="E84" s="24">
        <v>27763</v>
      </c>
      <c r="F84" s="118" t="s">
        <v>1609</v>
      </c>
      <c r="G84" s="26" t="s">
        <v>1284</v>
      </c>
      <c r="H84" s="28" t="s">
        <v>136</v>
      </c>
      <c r="I84" s="28" t="s">
        <v>136</v>
      </c>
      <c r="J84" s="22" t="s">
        <v>164</v>
      </c>
      <c r="K84" s="100">
        <v>4.2</v>
      </c>
      <c r="L84" s="100"/>
      <c r="M84" s="100"/>
      <c r="N84" s="36">
        <v>0.3</v>
      </c>
      <c r="O84" s="37">
        <f t="shared" si="4"/>
        <v>9828000</v>
      </c>
    </row>
    <row r="85" spans="1:15" ht="22.5" customHeight="1" x14ac:dyDescent="0.35">
      <c r="A85" s="46"/>
      <c r="B85" s="101" t="s">
        <v>1610</v>
      </c>
      <c r="C85" s="35"/>
      <c r="D85" s="49"/>
      <c r="E85" s="115"/>
      <c r="F85" s="120"/>
      <c r="G85" s="39"/>
      <c r="H85" s="55"/>
      <c r="I85" s="55"/>
      <c r="J85" s="39"/>
      <c r="K85" s="159"/>
      <c r="L85" s="159"/>
      <c r="M85" s="159"/>
      <c r="N85" s="52"/>
      <c r="O85" s="53"/>
    </row>
    <row r="86" spans="1:15" ht="22.5" customHeight="1" x14ac:dyDescent="0.35">
      <c r="A86" s="33">
        <v>71</v>
      </c>
      <c r="B86" s="34" t="s">
        <v>1611</v>
      </c>
      <c r="C86" s="22" t="s">
        <v>21</v>
      </c>
      <c r="D86" s="42">
        <v>2696025660</v>
      </c>
      <c r="E86" s="24">
        <v>25342</v>
      </c>
      <c r="F86" s="25" t="s">
        <v>1612</v>
      </c>
      <c r="G86" s="26" t="s">
        <v>1613</v>
      </c>
      <c r="H86" s="28" t="s">
        <v>145</v>
      </c>
      <c r="I86" s="28" t="s">
        <v>1485</v>
      </c>
      <c r="J86" s="22" t="s">
        <v>164</v>
      </c>
      <c r="K86" s="100">
        <v>4.2</v>
      </c>
      <c r="L86" s="100"/>
      <c r="M86" s="100">
        <v>0.2</v>
      </c>
      <c r="N86" s="36">
        <v>0.3</v>
      </c>
      <c r="O86" s="37">
        <f t="shared" ref="O86:O98" si="5">(K86+L86+M86)*2340000</f>
        <v>10296000</v>
      </c>
    </row>
    <row r="87" spans="1:15" ht="22.5" customHeight="1" x14ac:dyDescent="0.35">
      <c r="A87" s="38">
        <v>72</v>
      </c>
      <c r="B87" s="34" t="s">
        <v>1614</v>
      </c>
      <c r="C87" s="22" t="s">
        <v>21</v>
      </c>
      <c r="D87" s="54" t="s">
        <v>1615</v>
      </c>
      <c r="E87" s="40">
        <v>35408</v>
      </c>
      <c r="F87" s="41" t="s">
        <v>1616</v>
      </c>
      <c r="G87" s="26" t="s">
        <v>296</v>
      </c>
      <c r="H87" s="28" t="s">
        <v>1571</v>
      </c>
      <c r="I87" s="28" t="s">
        <v>27</v>
      </c>
      <c r="J87" s="22" t="s">
        <v>90</v>
      </c>
      <c r="K87" s="100">
        <v>2.65</v>
      </c>
      <c r="L87" s="100"/>
      <c r="M87" s="100"/>
      <c r="N87" s="36">
        <v>0.3</v>
      </c>
      <c r="O87" s="37">
        <f t="shared" si="5"/>
        <v>6201000</v>
      </c>
    </row>
    <row r="88" spans="1:15" ht="22.5" customHeight="1" x14ac:dyDescent="0.35">
      <c r="A88" s="33">
        <v>73</v>
      </c>
      <c r="B88" s="34" t="s">
        <v>1617</v>
      </c>
      <c r="C88" s="22"/>
      <c r="D88" s="42">
        <v>2696039379</v>
      </c>
      <c r="E88" s="24">
        <v>26401</v>
      </c>
      <c r="F88" s="25" t="s">
        <v>1618</v>
      </c>
      <c r="G88" s="26" t="s">
        <v>620</v>
      </c>
      <c r="H88" s="28" t="s">
        <v>136</v>
      </c>
      <c r="I88" s="28" t="s">
        <v>136</v>
      </c>
      <c r="J88" s="28" t="s">
        <v>160</v>
      </c>
      <c r="K88" s="141">
        <v>3.56</v>
      </c>
      <c r="L88" s="100"/>
      <c r="M88" s="100"/>
      <c r="N88" s="36">
        <v>0.3</v>
      </c>
      <c r="O88" s="37">
        <f t="shared" si="5"/>
        <v>8330400</v>
      </c>
    </row>
    <row r="89" spans="1:15" ht="22.5" customHeight="1" x14ac:dyDescent="0.35">
      <c r="A89" s="33">
        <v>74</v>
      </c>
      <c r="B89" s="34" t="s">
        <v>1619</v>
      </c>
      <c r="C89" s="22" t="s">
        <v>21</v>
      </c>
      <c r="D89" s="42">
        <v>2696039396</v>
      </c>
      <c r="E89" s="24">
        <v>25851</v>
      </c>
      <c r="F89" s="25" t="s">
        <v>1620</v>
      </c>
      <c r="G89" s="26" t="s">
        <v>1621</v>
      </c>
      <c r="H89" s="28" t="s">
        <v>136</v>
      </c>
      <c r="I89" s="28" t="s">
        <v>136</v>
      </c>
      <c r="J89" s="22" t="s">
        <v>164</v>
      </c>
      <c r="K89" s="100">
        <v>4.2</v>
      </c>
      <c r="L89" s="100"/>
      <c r="M89" s="100"/>
      <c r="N89" s="36">
        <v>0.3</v>
      </c>
      <c r="O89" s="37">
        <f t="shared" si="5"/>
        <v>9828000</v>
      </c>
    </row>
    <row r="90" spans="1:15" ht="22.5" customHeight="1" x14ac:dyDescent="0.35">
      <c r="A90" s="38">
        <v>75</v>
      </c>
      <c r="B90" s="34" t="s">
        <v>1622</v>
      </c>
      <c r="C90" s="22"/>
      <c r="D90" s="23" t="s">
        <v>1623</v>
      </c>
      <c r="E90" s="24">
        <v>23882</v>
      </c>
      <c r="F90" s="25" t="s">
        <v>1624</v>
      </c>
      <c r="G90" s="26" t="s">
        <v>1625</v>
      </c>
      <c r="H90" s="28" t="s">
        <v>170</v>
      </c>
      <c r="I90" s="28" t="s">
        <v>225</v>
      </c>
      <c r="J90" s="22" t="s">
        <v>164</v>
      </c>
      <c r="K90" s="100">
        <v>4.2</v>
      </c>
      <c r="L90" s="100"/>
      <c r="M90" s="100">
        <v>0.1</v>
      </c>
      <c r="N90" s="36">
        <v>0.3</v>
      </c>
      <c r="O90" s="37">
        <f t="shared" si="5"/>
        <v>10062000</v>
      </c>
    </row>
    <row r="91" spans="1:15" ht="22.5" customHeight="1" x14ac:dyDescent="0.35">
      <c r="A91" s="33">
        <v>76</v>
      </c>
      <c r="B91" s="34" t="s">
        <v>297</v>
      </c>
      <c r="C91" s="22" t="s">
        <v>21</v>
      </c>
      <c r="D91" s="42">
        <v>2607002116</v>
      </c>
      <c r="E91" s="24">
        <v>30929</v>
      </c>
      <c r="F91" s="25" t="s">
        <v>1626</v>
      </c>
      <c r="G91" s="26" t="s">
        <v>628</v>
      </c>
      <c r="H91" s="28" t="s">
        <v>136</v>
      </c>
      <c r="I91" s="28" t="s">
        <v>136</v>
      </c>
      <c r="J91" s="28" t="s">
        <v>160</v>
      </c>
      <c r="K91" s="141">
        <v>3.56</v>
      </c>
      <c r="L91" s="100"/>
      <c r="M91" s="100"/>
      <c r="N91" s="36">
        <v>0.3</v>
      </c>
      <c r="O91" s="37">
        <f t="shared" si="5"/>
        <v>8330400</v>
      </c>
    </row>
    <row r="92" spans="1:15" ht="22.5" customHeight="1" x14ac:dyDescent="0.35">
      <c r="A92" s="33">
        <v>77</v>
      </c>
      <c r="B92" s="34" t="s">
        <v>1627</v>
      </c>
      <c r="C92" s="22" t="s">
        <v>21</v>
      </c>
      <c r="D92" s="23" t="s">
        <v>1628</v>
      </c>
      <c r="E92" s="24">
        <v>26978</v>
      </c>
      <c r="F92" s="25" t="s">
        <v>2038</v>
      </c>
      <c r="G92" s="26" t="s">
        <v>1419</v>
      </c>
      <c r="H92" s="28" t="s">
        <v>225</v>
      </c>
      <c r="I92" s="28" t="s">
        <v>225</v>
      </c>
      <c r="J92" s="22" t="s">
        <v>160</v>
      </c>
      <c r="K92" s="100">
        <v>3.56</v>
      </c>
      <c r="L92" s="100"/>
      <c r="M92" s="100"/>
      <c r="N92" s="36">
        <v>0.3</v>
      </c>
      <c r="O92" s="37">
        <f t="shared" si="5"/>
        <v>8330400</v>
      </c>
    </row>
    <row r="93" spans="1:15" ht="22.5" customHeight="1" x14ac:dyDescent="0.35">
      <c r="A93" s="38">
        <v>78</v>
      </c>
      <c r="B93" s="34" t="s">
        <v>1629</v>
      </c>
      <c r="C93" s="22" t="s">
        <v>21</v>
      </c>
      <c r="D93" s="42">
        <v>2696039420</v>
      </c>
      <c r="E93" s="24" t="s">
        <v>1630</v>
      </c>
      <c r="F93" s="25" t="s">
        <v>1631</v>
      </c>
      <c r="G93" s="26" t="s">
        <v>1299</v>
      </c>
      <c r="H93" s="28" t="s">
        <v>136</v>
      </c>
      <c r="I93" s="28" t="s">
        <v>136</v>
      </c>
      <c r="J93" s="22" t="s">
        <v>164</v>
      </c>
      <c r="K93" s="100">
        <v>4.2</v>
      </c>
      <c r="L93" s="100"/>
      <c r="M93" s="100"/>
      <c r="N93" s="36">
        <v>0.3</v>
      </c>
      <c r="O93" s="37">
        <f t="shared" si="5"/>
        <v>9828000</v>
      </c>
    </row>
    <row r="94" spans="1:15" ht="22.5" customHeight="1" x14ac:dyDescent="0.35">
      <c r="A94" s="33">
        <v>79</v>
      </c>
      <c r="B94" s="34" t="s">
        <v>1632</v>
      </c>
      <c r="C94" s="22" t="s">
        <v>21</v>
      </c>
      <c r="D94" s="42">
        <v>2604004613</v>
      </c>
      <c r="E94" s="24">
        <v>30600</v>
      </c>
      <c r="F94" s="25" t="s">
        <v>1633</v>
      </c>
      <c r="G94" s="26" t="s">
        <v>440</v>
      </c>
      <c r="H94" s="28" t="s">
        <v>136</v>
      </c>
      <c r="I94" s="28" t="s">
        <v>136</v>
      </c>
      <c r="J94" s="28" t="s">
        <v>160</v>
      </c>
      <c r="K94" s="141">
        <v>3.56</v>
      </c>
      <c r="L94" s="100"/>
      <c r="M94" s="100"/>
      <c r="N94" s="36">
        <v>0.3</v>
      </c>
      <c r="O94" s="37">
        <f t="shared" si="5"/>
        <v>8330400</v>
      </c>
    </row>
    <row r="95" spans="1:15" ht="22.5" customHeight="1" x14ac:dyDescent="0.35">
      <c r="A95" s="33">
        <v>80</v>
      </c>
      <c r="B95" s="34" t="s">
        <v>1634</v>
      </c>
      <c r="C95" s="22" t="s">
        <v>21</v>
      </c>
      <c r="D95" s="45">
        <v>3413018344</v>
      </c>
      <c r="E95" s="40">
        <v>31417</v>
      </c>
      <c r="F95" s="41" t="s">
        <v>1635</v>
      </c>
      <c r="G95" s="26" t="s">
        <v>1636</v>
      </c>
      <c r="H95" s="28" t="s">
        <v>136</v>
      </c>
      <c r="I95" s="28" t="s">
        <v>136</v>
      </c>
      <c r="J95" s="22" t="s">
        <v>175</v>
      </c>
      <c r="K95" s="100">
        <v>2.5499999999999998</v>
      </c>
      <c r="L95" s="100"/>
      <c r="M95" s="100"/>
      <c r="N95" s="36">
        <v>0.3</v>
      </c>
      <c r="O95" s="37">
        <f t="shared" si="5"/>
        <v>5967000</v>
      </c>
    </row>
    <row r="96" spans="1:15" ht="22.5" customHeight="1" x14ac:dyDescent="0.35">
      <c r="A96" s="38">
        <v>81</v>
      </c>
      <c r="B96" s="34" t="s">
        <v>1637</v>
      </c>
      <c r="C96" s="22"/>
      <c r="D96" s="42">
        <v>2603000382</v>
      </c>
      <c r="E96" s="24">
        <v>29349</v>
      </c>
      <c r="F96" s="25" t="s">
        <v>1638</v>
      </c>
      <c r="G96" s="26" t="s">
        <v>1639</v>
      </c>
      <c r="H96" s="28" t="s">
        <v>225</v>
      </c>
      <c r="I96" s="28" t="s">
        <v>225</v>
      </c>
      <c r="J96" s="22" t="s">
        <v>160</v>
      </c>
      <c r="K96" s="100">
        <v>3.56</v>
      </c>
      <c r="L96" s="100"/>
      <c r="M96" s="100"/>
      <c r="N96" s="36">
        <v>0.3</v>
      </c>
      <c r="O96" s="37">
        <f t="shared" si="5"/>
        <v>8330400</v>
      </c>
    </row>
    <row r="97" spans="1:15" ht="22.5" customHeight="1" x14ac:dyDescent="0.35">
      <c r="A97" s="33">
        <v>82</v>
      </c>
      <c r="B97" s="34" t="s">
        <v>1640</v>
      </c>
      <c r="C97" s="22"/>
      <c r="D97" s="42">
        <v>2604000544</v>
      </c>
      <c r="E97" s="24" t="s">
        <v>1641</v>
      </c>
      <c r="F97" s="25" t="s">
        <v>1642</v>
      </c>
      <c r="G97" s="26" t="s">
        <v>702</v>
      </c>
      <c r="H97" s="28" t="s">
        <v>136</v>
      </c>
      <c r="I97" s="28" t="s">
        <v>136</v>
      </c>
      <c r="J97" s="22" t="s">
        <v>160</v>
      </c>
      <c r="K97" s="100">
        <v>3.56</v>
      </c>
      <c r="L97" s="100"/>
      <c r="M97" s="100"/>
      <c r="N97" s="36">
        <v>0.3</v>
      </c>
      <c r="O97" s="37">
        <f t="shared" si="5"/>
        <v>8330400</v>
      </c>
    </row>
    <row r="98" spans="1:15" ht="22.5" customHeight="1" x14ac:dyDescent="0.35">
      <c r="A98" s="33">
        <v>83</v>
      </c>
      <c r="B98" s="34" t="s">
        <v>1643</v>
      </c>
      <c r="C98" s="22" t="s">
        <v>21</v>
      </c>
      <c r="D98" s="23" t="s">
        <v>1644</v>
      </c>
      <c r="E98" s="24">
        <v>34579</v>
      </c>
      <c r="F98" s="41" t="s">
        <v>1645</v>
      </c>
      <c r="G98" s="26" t="s">
        <v>1646</v>
      </c>
      <c r="H98" s="28" t="s">
        <v>136</v>
      </c>
      <c r="I98" s="28" t="s">
        <v>136</v>
      </c>
      <c r="J98" s="22" t="s">
        <v>175</v>
      </c>
      <c r="K98" s="100">
        <v>2.5499999999999998</v>
      </c>
      <c r="L98" s="100"/>
      <c r="M98" s="100"/>
      <c r="N98" s="36">
        <v>0.3</v>
      </c>
      <c r="O98" s="37">
        <f t="shared" si="5"/>
        <v>5967000</v>
      </c>
    </row>
    <row r="99" spans="1:15" ht="22.5" customHeight="1" x14ac:dyDescent="0.35">
      <c r="A99" s="46"/>
      <c r="B99" s="101" t="s">
        <v>1647</v>
      </c>
      <c r="C99" s="35"/>
      <c r="D99" s="49"/>
      <c r="E99" s="115"/>
      <c r="F99" s="79"/>
      <c r="G99" s="39"/>
      <c r="H99" s="52"/>
      <c r="I99" s="52"/>
      <c r="J99" s="39"/>
      <c r="K99" s="159"/>
      <c r="L99" s="159"/>
      <c r="M99" s="159"/>
      <c r="N99" s="52"/>
      <c r="O99" s="53"/>
    </row>
    <row r="100" spans="1:15" ht="22.5" customHeight="1" x14ac:dyDescent="0.35">
      <c r="A100" s="38">
        <v>84</v>
      </c>
      <c r="B100" s="34" t="s">
        <v>1648</v>
      </c>
      <c r="C100" s="22"/>
      <c r="D100" s="42">
        <v>2604000547</v>
      </c>
      <c r="E100" s="24">
        <v>30005</v>
      </c>
      <c r="F100" s="25" t="s">
        <v>1649</v>
      </c>
      <c r="G100" s="26" t="s">
        <v>1432</v>
      </c>
      <c r="H100" s="28" t="s">
        <v>145</v>
      </c>
      <c r="I100" s="28" t="s">
        <v>27</v>
      </c>
      <c r="J100" s="22" t="s">
        <v>43</v>
      </c>
      <c r="K100" s="100">
        <v>3.89</v>
      </c>
      <c r="L100" s="100"/>
      <c r="M100" s="100">
        <v>0.2</v>
      </c>
      <c r="N100" s="36">
        <v>0.3</v>
      </c>
      <c r="O100" s="37">
        <f t="shared" ref="O100:O110" si="6">(K100+L100+M100)*2340000</f>
        <v>9570600</v>
      </c>
    </row>
    <row r="101" spans="1:15" ht="22.5" customHeight="1" x14ac:dyDescent="0.35">
      <c r="A101" s="33">
        <v>85</v>
      </c>
      <c r="B101" s="34" t="s">
        <v>1224</v>
      </c>
      <c r="C101" s="22" t="s">
        <v>21</v>
      </c>
      <c r="D101" s="54" t="s">
        <v>1650</v>
      </c>
      <c r="E101" s="40">
        <v>34673</v>
      </c>
      <c r="F101" s="41" t="s">
        <v>1651</v>
      </c>
      <c r="G101" s="26" t="s">
        <v>340</v>
      </c>
      <c r="H101" s="28" t="s">
        <v>1571</v>
      </c>
      <c r="I101" s="28" t="s">
        <v>27</v>
      </c>
      <c r="J101" s="22" t="s">
        <v>90</v>
      </c>
      <c r="K101" s="100">
        <v>2.65</v>
      </c>
      <c r="L101" s="100"/>
      <c r="M101" s="100"/>
      <c r="N101" s="36">
        <v>0.3</v>
      </c>
      <c r="O101" s="37">
        <f t="shared" si="6"/>
        <v>6201000</v>
      </c>
    </row>
    <row r="102" spans="1:15" ht="22.5" customHeight="1" x14ac:dyDescent="0.35">
      <c r="A102" s="33">
        <v>86</v>
      </c>
      <c r="B102" s="34" t="s">
        <v>1652</v>
      </c>
      <c r="C102" s="22"/>
      <c r="D102" s="42">
        <v>2606000072</v>
      </c>
      <c r="E102" s="24">
        <v>31599</v>
      </c>
      <c r="F102" s="25" t="s">
        <v>1653</v>
      </c>
      <c r="G102" s="26" t="s">
        <v>1654</v>
      </c>
      <c r="H102" s="28" t="s">
        <v>225</v>
      </c>
      <c r="I102" s="28" t="s">
        <v>225</v>
      </c>
      <c r="J102" s="22" t="s">
        <v>160</v>
      </c>
      <c r="K102" s="100">
        <v>3.74</v>
      </c>
      <c r="L102" s="100"/>
      <c r="M102" s="100"/>
      <c r="N102" s="36">
        <v>0.3</v>
      </c>
      <c r="O102" s="37">
        <f t="shared" si="6"/>
        <v>8751600</v>
      </c>
    </row>
    <row r="103" spans="1:15" ht="22.5" customHeight="1" x14ac:dyDescent="0.35">
      <c r="A103" s="38">
        <v>87</v>
      </c>
      <c r="B103" s="34" t="s">
        <v>1655</v>
      </c>
      <c r="C103" s="22"/>
      <c r="D103" s="42">
        <v>2696039421</v>
      </c>
      <c r="E103" s="24" t="s">
        <v>1656</v>
      </c>
      <c r="F103" s="25" t="s">
        <v>1657</v>
      </c>
      <c r="G103" s="26" t="s">
        <v>400</v>
      </c>
      <c r="H103" s="28" t="s">
        <v>129</v>
      </c>
      <c r="I103" s="28" t="s">
        <v>129</v>
      </c>
      <c r="J103" s="22" t="s">
        <v>160</v>
      </c>
      <c r="K103" s="100">
        <v>3.74</v>
      </c>
      <c r="L103" s="100"/>
      <c r="M103" s="100"/>
      <c r="N103" s="36">
        <v>0.3</v>
      </c>
      <c r="O103" s="37">
        <f t="shared" si="6"/>
        <v>8751600</v>
      </c>
    </row>
    <row r="104" spans="1:15" ht="22.5" customHeight="1" x14ac:dyDescent="0.35">
      <c r="A104" s="33">
        <v>88</v>
      </c>
      <c r="B104" s="34" t="s">
        <v>1658</v>
      </c>
      <c r="C104" s="22"/>
      <c r="D104" s="42">
        <v>2696039415</v>
      </c>
      <c r="E104" s="24">
        <v>26606</v>
      </c>
      <c r="F104" s="25" t="s">
        <v>1659</v>
      </c>
      <c r="G104" s="26" t="s">
        <v>620</v>
      </c>
      <c r="H104" s="28" t="s">
        <v>272</v>
      </c>
      <c r="I104" s="28" t="s">
        <v>225</v>
      </c>
      <c r="J104" s="22" t="s">
        <v>160</v>
      </c>
      <c r="K104" s="100">
        <v>3.74</v>
      </c>
      <c r="L104" s="100"/>
      <c r="M104" s="100">
        <v>0.1</v>
      </c>
      <c r="N104" s="36">
        <v>0.3</v>
      </c>
      <c r="O104" s="37">
        <f t="shared" si="6"/>
        <v>8985600</v>
      </c>
    </row>
    <row r="105" spans="1:15" ht="22.5" customHeight="1" x14ac:dyDescent="0.35">
      <c r="A105" s="33">
        <v>89</v>
      </c>
      <c r="B105" s="34" t="s">
        <v>1660</v>
      </c>
      <c r="C105" s="22" t="s">
        <v>21</v>
      </c>
      <c r="D105" s="42">
        <v>2601004232</v>
      </c>
      <c r="E105" s="24">
        <v>28529</v>
      </c>
      <c r="F105" s="25" t="s">
        <v>1661</v>
      </c>
      <c r="G105" s="26" t="s">
        <v>825</v>
      </c>
      <c r="H105" s="28" t="s">
        <v>136</v>
      </c>
      <c r="I105" s="28" t="s">
        <v>136</v>
      </c>
      <c r="J105" s="28" t="s">
        <v>160</v>
      </c>
      <c r="K105" s="141">
        <v>3.56</v>
      </c>
      <c r="L105" s="100"/>
      <c r="M105" s="100"/>
      <c r="N105" s="36">
        <v>0.3</v>
      </c>
      <c r="O105" s="37">
        <f t="shared" si="6"/>
        <v>8330400</v>
      </c>
    </row>
    <row r="106" spans="1:15" ht="22.5" customHeight="1" x14ac:dyDescent="0.35">
      <c r="A106" s="38">
        <v>90</v>
      </c>
      <c r="B106" s="34" t="s">
        <v>1662</v>
      </c>
      <c r="C106" s="22"/>
      <c r="D106" s="54" t="s">
        <v>1663</v>
      </c>
      <c r="E106" s="40">
        <v>33364</v>
      </c>
      <c r="F106" s="41" t="s">
        <v>1664</v>
      </c>
      <c r="G106" s="26" t="s">
        <v>1665</v>
      </c>
      <c r="H106" s="28" t="s">
        <v>136</v>
      </c>
      <c r="I106" s="28" t="s">
        <v>136</v>
      </c>
      <c r="J106" s="22" t="s">
        <v>137</v>
      </c>
      <c r="K106" s="100">
        <v>2.16</v>
      </c>
      <c r="L106" s="100"/>
      <c r="M106" s="100"/>
      <c r="N106" s="36">
        <v>0.3</v>
      </c>
      <c r="O106" s="37">
        <f t="shared" si="6"/>
        <v>5054400</v>
      </c>
    </row>
    <row r="107" spans="1:15" ht="22.5" customHeight="1" x14ac:dyDescent="0.35">
      <c r="A107" s="33">
        <v>91</v>
      </c>
      <c r="B107" s="34" t="s">
        <v>1666</v>
      </c>
      <c r="C107" s="22" t="s">
        <v>21</v>
      </c>
      <c r="D107" s="42">
        <v>2696025606</v>
      </c>
      <c r="E107" s="24">
        <v>25842</v>
      </c>
      <c r="F107" s="25" t="s">
        <v>1667</v>
      </c>
      <c r="G107" s="26" t="s">
        <v>1491</v>
      </c>
      <c r="H107" s="28" t="s">
        <v>136</v>
      </c>
      <c r="I107" s="28" t="s">
        <v>136</v>
      </c>
      <c r="J107" s="22" t="s">
        <v>164</v>
      </c>
      <c r="K107" s="100">
        <v>4.2</v>
      </c>
      <c r="L107" s="100"/>
      <c r="M107" s="100"/>
      <c r="N107" s="36">
        <v>0.3</v>
      </c>
      <c r="O107" s="37">
        <f t="shared" si="6"/>
        <v>9828000</v>
      </c>
    </row>
    <row r="108" spans="1:15" ht="22.5" customHeight="1" x14ac:dyDescent="0.35">
      <c r="A108" s="33">
        <v>92</v>
      </c>
      <c r="B108" s="34" t="s">
        <v>72</v>
      </c>
      <c r="C108" s="22" t="s">
        <v>21</v>
      </c>
      <c r="D108" s="42">
        <v>2696039423</v>
      </c>
      <c r="E108" s="24">
        <v>27065</v>
      </c>
      <c r="F108" s="41" t="s">
        <v>1668</v>
      </c>
      <c r="G108" s="26" t="s">
        <v>522</v>
      </c>
      <c r="H108" s="28" t="s">
        <v>136</v>
      </c>
      <c r="I108" s="28" t="s">
        <v>136</v>
      </c>
      <c r="J108" s="28" t="s">
        <v>160</v>
      </c>
      <c r="K108" s="141">
        <v>3.56</v>
      </c>
      <c r="L108" s="100"/>
      <c r="M108" s="100"/>
      <c r="N108" s="36">
        <v>0.3</v>
      </c>
      <c r="O108" s="37">
        <f t="shared" si="6"/>
        <v>8330400</v>
      </c>
    </row>
    <row r="109" spans="1:15" ht="22.5" customHeight="1" x14ac:dyDescent="0.35">
      <c r="A109" s="38">
        <v>93</v>
      </c>
      <c r="B109" s="34" t="s">
        <v>1669</v>
      </c>
      <c r="C109" s="22" t="s">
        <v>21</v>
      </c>
      <c r="D109" s="45">
        <v>3415009241</v>
      </c>
      <c r="E109" s="40">
        <v>34454</v>
      </c>
      <c r="F109" s="41" t="s">
        <v>1670</v>
      </c>
      <c r="G109" s="26" t="s">
        <v>1451</v>
      </c>
      <c r="H109" s="28" t="s">
        <v>136</v>
      </c>
      <c r="I109" s="28" t="s">
        <v>136</v>
      </c>
      <c r="J109" s="22" t="s">
        <v>175</v>
      </c>
      <c r="K109" s="100">
        <v>2.5499999999999998</v>
      </c>
      <c r="L109" s="100"/>
      <c r="M109" s="100"/>
      <c r="N109" s="36">
        <v>0.3</v>
      </c>
      <c r="O109" s="37">
        <f t="shared" si="6"/>
        <v>5967000</v>
      </c>
    </row>
    <row r="110" spans="1:15" ht="22.5" customHeight="1" x14ac:dyDescent="0.35">
      <c r="A110" s="33">
        <v>94</v>
      </c>
      <c r="B110" s="34" t="s">
        <v>1671</v>
      </c>
      <c r="C110" s="22"/>
      <c r="D110" s="121">
        <v>2607002120</v>
      </c>
      <c r="E110" s="58">
        <v>24303</v>
      </c>
      <c r="F110" s="84" t="s">
        <v>1672</v>
      </c>
      <c r="G110" s="26" t="s">
        <v>628</v>
      </c>
      <c r="H110" s="28" t="s">
        <v>689</v>
      </c>
      <c r="I110" s="28" t="s">
        <v>689</v>
      </c>
      <c r="J110" s="28" t="s">
        <v>130</v>
      </c>
      <c r="K110" s="100">
        <v>3.19</v>
      </c>
      <c r="L110" s="100"/>
      <c r="M110" s="100"/>
      <c r="N110" s="36">
        <v>0.3</v>
      </c>
      <c r="O110" s="37">
        <f t="shared" si="6"/>
        <v>7464600</v>
      </c>
    </row>
    <row r="111" spans="1:15" ht="27.75" customHeight="1" x14ac:dyDescent="0.35">
      <c r="A111" s="122"/>
      <c r="B111" s="123"/>
      <c r="C111" s="124"/>
      <c r="D111" s="125"/>
      <c r="E111" s="126"/>
      <c r="F111" s="127"/>
      <c r="G111" s="128"/>
      <c r="H111" s="129"/>
      <c r="I111" s="129"/>
      <c r="J111" s="130"/>
      <c r="K111" s="161"/>
      <c r="L111" s="161"/>
      <c r="M111" s="161"/>
      <c r="N111" s="130"/>
      <c r="O111" s="122"/>
    </row>
  </sheetData>
  <mergeCells count="15">
    <mergeCell ref="A1:H1"/>
    <mergeCell ref="J1:O1"/>
    <mergeCell ref="A2:H2"/>
    <mergeCell ref="J2:O2"/>
    <mergeCell ref="A3:H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17"/>
  <sheetViews>
    <sheetView zoomScale="55" zoomScaleNormal="55" workbookViewId="0">
      <selection activeCell="Q6" sqref="Q6"/>
    </sheetView>
  </sheetViews>
  <sheetFormatPr defaultRowHeight="14.5" x14ac:dyDescent="0.35"/>
  <cols>
    <col min="1" max="1" width="5.453125" style="2" bestFit="1" customWidth="1"/>
    <col min="2" max="2" width="20.453125" bestFit="1" customWidth="1"/>
    <col min="3" max="3" width="5" style="96" bestFit="1" customWidth="1"/>
    <col min="4" max="4" width="17.453125" style="97" bestFit="1" customWidth="1"/>
    <col min="5" max="5" width="16" style="98" bestFit="1" customWidth="1"/>
    <col min="6" max="6" width="16.54296875" style="97" bestFit="1" customWidth="1"/>
    <col min="7" max="7" width="14.26953125" style="96" bestFit="1" customWidth="1"/>
    <col min="8" max="9" width="27.54296875" style="7" bestFit="1" customWidth="1"/>
    <col min="10" max="10" width="8.7265625" bestFit="1" customWidth="1"/>
    <col min="11" max="13" width="6.7265625" style="162" bestFit="1" customWidth="1"/>
    <col min="14" max="14" width="13.54296875" style="95" hidden="1" bestFit="1" customWidth="1"/>
    <col min="15" max="15" width="49.7265625" style="95" customWidth="1"/>
  </cols>
  <sheetData>
    <row r="1" spans="1:15" ht="18.75" customHeight="1" x14ac:dyDescent="0.35">
      <c r="A1" s="185" t="s">
        <v>0</v>
      </c>
      <c r="B1" s="186"/>
      <c r="C1" s="186"/>
      <c r="D1" s="187"/>
      <c r="E1" s="188"/>
      <c r="F1" s="92"/>
      <c r="G1" s="93"/>
      <c r="H1" s="94"/>
      <c r="I1" s="94"/>
      <c r="J1" s="186" t="s">
        <v>2037</v>
      </c>
      <c r="K1" s="185"/>
      <c r="L1" s="185"/>
      <c r="M1" s="185"/>
      <c r="N1" s="185"/>
      <c r="O1" s="185"/>
    </row>
    <row r="2" spans="1:15" ht="18.75" customHeight="1" x14ac:dyDescent="0.35">
      <c r="A2" s="185" t="s">
        <v>2</v>
      </c>
      <c r="B2" s="186"/>
      <c r="C2" s="186"/>
      <c r="D2" s="187"/>
      <c r="E2" s="188"/>
      <c r="F2" s="92"/>
      <c r="G2" s="93"/>
      <c r="H2" s="94"/>
      <c r="I2" s="94"/>
      <c r="J2" s="190" t="s">
        <v>3</v>
      </c>
      <c r="K2" s="191"/>
      <c r="L2" s="191"/>
      <c r="M2" s="191"/>
      <c r="N2" s="191"/>
      <c r="O2" s="191"/>
    </row>
    <row r="3" spans="1:15" ht="18.75" customHeight="1" x14ac:dyDescent="0.35">
      <c r="A3" s="185" t="s">
        <v>4</v>
      </c>
      <c r="B3" s="186"/>
      <c r="C3" s="186"/>
      <c r="D3" s="187"/>
      <c r="E3" s="188"/>
      <c r="F3" s="92"/>
      <c r="G3" s="93"/>
      <c r="H3" s="94"/>
      <c r="I3" s="94"/>
      <c r="L3" s="153"/>
    </row>
    <row r="4" spans="1:15" ht="18.75" customHeight="1" x14ac:dyDescent="0.35"/>
    <row r="5" spans="1:15" ht="26.25" customHeight="1" x14ac:dyDescent="0.35">
      <c r="A5" s="200" t="s">
        <v>5</v>
      </c>
      <c r="B5" s="202" t="s">
        <v>6</v>
      </c>
      <c r="C5" s="195" t="s">
        <v>1042</v>
      </c>
      <c r="D5" s="172" t="s">
        <v>8</v>
      </c>
      <c r="E5" s="183" t="s">
        <v>9</v>
      </c>
      <c r="F5" s="172" t="s">
        <v>10</v>
      </c>
      <c r="G5" s="174" t="s">
        <v>11</v>
      </c>
      <c r="H5" s="195" t="s">
        <v>12</v>
      </c>
      <c r="I5" s="174" t="s">
        <v>1043</v>
      </c>
      <c r="J5" s="198" t="s">
        <v>14</v>
      </c>
      <c r="K5" s="199"/>
      <c r="L5" s="199"/>
      <c r="M5" s="199"/>
      <c r="N5" s="199"/>
      <c r="O5" s="199"/>
    </row>
    <row r="6" spans="1:15" ht="42.75" customHeight="1" x14ac:dyDescent="0.35">
      <c r="A6" s="201"/>
      <c r="B6" s="203"/>
      <c r="C6" s="196"/>
      <c r="D6" s="192"/>
      <c r="E6" s="206"/>
      <c r="F6" s="192"/>
      <c r="G6" s="197"/>
      <c r="H6" s="196"/>
      <c r="I6" s="197"/>
      <c r="J6" s="9" t="s">
        <v>15</v>
      </c>
      <c r="K6" s="143" t="s">
        <v>16</v>
      </c>
      <c r="L6" s="143" t="s">
        <v>18</v>
      </c>
      <c r="M6" s="143" t="s">
        <v>17</v>
      </c>
      <c r="N6" s="8"/>
      <c r="O6" s="8" t="s">
        <v>19</v>
      </c>
    </row>
    <row r="7" spans="1:15" ht="24.75" customHeight="1" x14ac:dyDescent="0.35">
      <c r="A7" s="11"/>
      <c r="B7" s="99" t="s">
        <v>1405</v>
      </c>
      <c r="C7" s="13"/>
      <c r="D7" s="16"/>
      <c r="E7" s="15"/>
      <c r="F7" s="16"/>
      <c r="G7" s="13"/>
      <c r="H7" s="13"/>
      <c r="I7" s="13"/>
      <c r="J7" s="11"/>
      <c r="K7" s="163"/>
      <c r="L7" s="163"/>
      <c r="M7" s="163"/>
      <c r="N7" s="11"/>
      <c r="O7" s="11"/>
    </row>
    <row r="8" spans="1:15" ht="22.5" customHeight="1" x14ac:dyDescent="0.35">
      <c r="A8" s="30">
        <v>1</v>
      </c>
      <c r="B8" s="21" t="s">
        <v>1044</v>
      </c>
      <c r="C8" s="29"/>
      <c r="D8" s="42">
        <v>2696022836</v>
      </c>
      <c r="E8" s="24" t="s">
        <v>1045</v>
      </c>
      <c r="F8" s="25" t="s">
        <v>1046</v>
      </c>
      <c r="G8" s="22" t="s">
        <v>734</v>
      </c>
      <c r="H8" s="27" t="s">
        <v>26</v>
      </c>
      <c r="I8" s="28" t="s">
        <v>27</v>
      </c>
      <c r="J8" s="29" t="s">
        <v>165</v>
      </c>
      <c r="K8" s="164">
        <v>5.65</v>
      </c>
      <c r="L8" s="164">
        <v>0.5</v>
      </c>
      <c r="M8" s="164"/>
      <c r="N8" s="31">
        <v>0.3</v>
      </c>
      <c r="O8" s="32">
        <f>(K8+L8+M8)*2340000+(L8*2340000)</f>
        <v>15561000</v>
      </c>
    </row>
    <row r="9" spans="1:15" ht="22.5" customHeight="1" x14ac:dyDescent="0.35">
      <c r="A9" s="36">
        <v>2</v>
      </c>
      <c r="B9" s="34" t="s">
        <v>1047</v>
      </c>
      <c r="C9" s="22" t="s">
        <v>21</v>
      </c>
      <c r="D9" s="42">
        <v>2604002072</v>
      </c>
      <c r="E9" s="24" t="s">
        <v>1048</v>
      </c>
      <c r="F9" s="25" t="s">
        <v>1049</v>
      </c>
      <c r="G9" s="22" t="s">
        <v>1050</v>
      </c>
      <c r="H9" s="28" t="s">
        <v>1051</v>
      </c>
      <c r="I9" s="28" t="s">
        <v>27</v>
      </c>
      <c r="J9" s="22" t="s">
        <v>35</v>
      </c>
      <c r="K9" s="146">
        <v>4</v>
      </c>
      <c r="L9" s="146">
        <v>0.3</v>
      </c>
      <c r="M9" s="146"/>
      <c r="N9" s="36">
        <v>0.3</v>
      </c>
      <c r="O9" s="37">
        <f t="shared" ref="O9:O15" si="0">(K9+L9+M9)*2340000</f>
        <v>10062000</v>
      </c>
    </row>
    <row r="10" spans="1:15" ht="22.5" customHeight="1" x14ac:dyDescent="0.35">
      <c r="A10" s="38">
        <v>3</v>
      </c>
      <c r="B10" s="34" t="s">
        <v>1052</v>
      </c>
      <c r="C10" s="22"/>
      <c r="D10" s="42">
        <v>2602000933</v>
      </c>
      <c r="E10" s="24" t="s">
        <v>1053</v>
      </c>
      <c r="F10" s="25" t="s">
        <v>1054</v>
      </c>
      <c r="G10" s="22" t="s">
        <v>782</v>
      </c>
      <c r="H10" s="28" t="s">
        <v>1051</v>
      </c>
      <c r="I10" s="28" t="s">
        <v>27</v>
      </c>
      <c r="J10" s="22" t="s">
        <v>28</v>
      </c>
      <c r="K10" s="146">
        <v>4.33</v>
      </c>
      <c r="L10" s="146">
        <v>0.3</v>
      </c>
      <c r="M10" s="146"/>
      <c r="N10" s="36">
        <v>0.3</v>
      </c>
      <c r="O10" s="37">
        <f t="shared" si="0"/>
        <v>10834200</v>
      </c>
    </row>
    <row r="11" spans="1:15" ht="22.5" customHeight="1" x14ac:dyDescent="0.35">
      <c r="A11" s="38">
        <v>4</v>
      </c>
      <c r="B11" s="34" t="s">
        <v>1055</v>
      </c>
      <c r="C11" s="22" t="s">
        <v>21</v>
      </c>
      <c r="D11" s="23" t="s">
        <v>1056</v>
      </c>
      <c r="E11" s="24" t="s">
        <v>1057</v>
      </c>
      <c r="F11" s="25" t="s">
        <v>1058</v>
      </c>
      <c r="G11" s="22" t="s">
        <v>1059</v>
      </c>
      <c r="H11" s="28" t="s">
        <v>48</v>
      </c>
      <c r="I11" s="28" t="s">
        <v>27</v>
      </c>
      <c r="J11" s="22" t="s">
        <v>198</v>
      </c>
      <c r="K11" s="146">
        <v>4.2</v>
      </c>
      <c r="L11" s="146"/>
      <c r="M11" s="146" t="s">
        <v>79</v>
      </c>
      <c r="N11" s="36">
        <v>0.3</v>
      </c>
      <c r="O11" s="37" t="e">
        <f t="shared" si="0"/>
        <v>#VALUE!</v>
      </c>
    </row>
    <row r="12" spans="1:15" ht="22.5" customHeight="1" x14ac:dyDescent="0.35">
      <c r="A12" s="36">
        <v>5</v>
      </c>
      <c r="B12" s="34" t="s">
        <v>1060</v>
      </c>
      <c r="C12" s="22" t="s">
        <v>21</v>
      </c>
      <c r="D12" s="42">
        <v>2602000908</v>
      </c>
      <c r="E12" s="24" t="s">
        <v>1061</v>
      </c>
      <c r="F12" s="25" t="s">
        <v>1062</v>
      </c>
      <c r="G12" s="22" t="s">
        <v>578</v>
      </c>
      <c r="H12" s="28" t="s">
        <v>1063</v>
      </c>
      <c r="I12" s="28" t="s">
        <v>180</v>
      </c>
      <c r="J12" s="22" t="s">
        <v>899</v>
      </c>
      <c r="K12" s="146">
        <v>3.89</v>
      </c>
      <c r="L12" s="146"/>
      <c r="M12" s="146"/>
      <c r="N12" s="36">
        <v>0.3</v>
      </c>
      <c r="O12" s="37">
        <f t="shared" si="0"/>
        <v>9102600</v>
      </c>
    </row>
    <row r="13" spans="1:15" ht="22.5" customHeight="1" x14ac:dyDescent="0.35">
      <c r="A13" s="38">
        <v>6</v>
      </c>
      <c r="B13" s="34" t="s">
        <v>1064</v>
      </c>
      <c r="C13" s="22" t="s">
        <v>21</v>
      </c>
      <c r="D13" s="42">
        <v>2606001565</v>
      </c>
      <c r="E13" s="24" t="s">
        <v>1065</v>
      </c>
      <c r="F13" s="25" t="s">
        <v>1066</v>
      </c>
      <c r="G13" s="22" t="s">
        <v>118</v>
      </c>
      <c r="H13" s="28" t="s">
        <v>1067</v>
      </c>
      <c r="I13" s="28" t="s">
        <v>1067</v>
      </c>
      <c r="J13" s="22" t="s">
        <v>181</v>
      </c>
      <c r="K13" s="146">
        <v>3.51</v>
      </c>
      <c r="L13" s="146"/>
      <c r="M13" s="146"/>
      <c r="N13" s="36">
        <v>0.3</v>
      </c>
      <c r="O13" s="37">
        <f t="shared" si="0"/>
        <v>8213399.9999999991</v>
      </c>
    </row>
    <row r="14" spans="1:15" ht="22.5" customHeight="1" x14ac:dyDescent="0.35">
      <c r="A14" s="38">
        <v>7</v>
      </c>
      <c r="B14" s="34" t="s">
        <v>1068</v>
      </c>
      <c r="C14" s="22"/>
      <c r="D14" s="23" t="s">
        <v>1069</v>
      </c>
      <c r="E14" s="24" t="s">
        <v>1070</v>
      </c>
      <c r="F14" s="25" t="s">
        <v>1071</v>
      </c>
      <c r="G14" s="22" t="s">
        <v>1072</v>
      </c>
      <c r="H14" s="28" t="s">
        <v>1073</v>
      </c>
      <c r="I14" s="28" t="s">
        <v>1073</v>
      </c>
      <c r="J14" s="22" t="s">
        <v>70</v>
      </c>
      <c r="K14" s="146">
        <v>3.6</v>
      </c>
      <c r="L14" s="146"/>
      <c r="M14" s="146"/>
      <c r="N14" s="36">
        <v>0.3</v>
      </c>
      <c r="O14" s="37">
        <f t="shared" si="0"/>
        <v>8424000</v>
      </c>
    </row>
    <row r="15" spans="1:15" ht="22.5" customHeight="1" x14ac:dyDescent="0.35">
      <c r="A15" s="36">
        <v>8</v>
      </c>
      <c r="B15" s="34" t="s">
        <v>1074</v>
      </c>
      <c r="C15" s="22"/>
      <c r="D15" s="23" t="s">
        <v>1075</v>
      </c>
      <c r="E15" s="24" t="s">
        <v>1076</v>
      </c>
      <c r="F15" s="25" t="s">
        <v>1077</v>
      </c>
      <c r="G15" s="22" t="s">
        <v>400</v>
      </c>
      <c r="H15" s="28" t="s">
        <v>621</v>
      </c>
      <c r="I15" s="28" t="s">
        <v>225</v>
      </c>
      <c r="J15" s="22" t="s">
        <v>160</v>
      </c>
      <c r="K15" s="146">
        <v>3.74</v>
      </c>
      <c r="L15" s="146"/>
      <c r="M15" s="146"/>
      <c r="N15" s="36">
        <v>0.3</v>
      </c>
      <c r="O15" s="37">
        <f t="shared" si="0"/>
        <v>8751600</v>
      </c>
    </row>
    <row r="16" spans="1:15" ht="22.5" customHeight="1" x14ac:dyDescent="0.35">
      <c r="A16" s="52"/>
      <c r="B16" s="101" t="s">
        <v>1078</v>
      </c>
      <c r="C16" s="35"/>
      <c r="D16" s="49"/>
      <c r="E16" s="49"/>
      <c r="F16" s="50"/>
      <c r="G16" s="39"/>
      <c r="H16" s="55"/>
      <c r="I16" s="55"/>
      <c r="J16" s="39"/>
      <c r="K16" s="147"/>
      <c r="L16" s="147"/>
      <c r="M16" s="147"/>
      <c r="N16" s="52"/>
      <c r="O16" s="53"/>
    </row>
    <row r="17" spans="1:15" ht="22.5" customHeight="1" x14ac:dyDescent="0.35">
      <c r="A17" s="38">
        <v>9</v>
      </c>
      <c r="B17" s="34" t="s">
        <v>1079</v>
      </c>
      <c r="C17" s="22" t="s">
        <v>21</v>
      </c>
      <c r="D17" s="42">
        <v>2606001566</v>
      </c>
      <c r="E17" s="24" t="s">
        <v>1080</v>
      </c>
      <c r="F17" s="25" t="s">
        <v>1081</v>
      </c>
      <c r="G17" s="22" t="s">
        <v>1082</v>
      </c>
      <c r="H17" s="28" t="s">
        <v>48</v>
      </c>
      <c r="I17" s="28" t="s">
        <v>49</v>
      </c>
      <c r="J17" s="22" t="s">
        <v>43</v>
      </c>
      <c r="K17" s="146">
        <v>3.89</v>
      </c>
      <c r="L17" s="146"/>
      <c r="M17" s="146">
        <v>0.2</v>
      </c>
      <c r="N17" s="36">
        <v>0.3</v>
      </c>
      <c r="O17" s="37">
        <f>(K17+L17+M17)*2340000</f>
        <v>9570600</v>
      </c>
    </row>
    <row r="18" spans="1:15" ht="22.5" customHeight="1" x14ac:dyDescent="0.35">
      <c r="A18" s="38">
        <v>10</v>
      </c>
      <c r="B18" s="34" t="s">
        <v>1083</v>
      </c>
      <c r="C18" s="22"/>
      <c r="D18" s="23" t="s">
        <v>1084</v>
      </c>
      <c r="E18" s="24" t="s">
        <v>1085</v>
      </c>
      <c r="F18" s="25" t="s">
        <v>1086</v>
      </c>
      <c r="G18" s="22" t="s">
        <v>981</v>
      </c>
      <c r="H18" s="28" t="s">
        <v>1087</v>
      </c>
      <c r="I18" s="28" t="s">
        <v>1088</v>
      </c>
      <c r="J18" s="22" t="s">
        <v>899</v>
      </c>
      <c r="K18" s="146">
        <v>3.89</v>
      </c>
      <c r="L18" s="146"/>
      <c r="M18" s="146">
        <v>0.1</v>
      </c>
      <c r="N18" s="36">
        <v>0.3</v>
      </c>
      <c r="O18" s="37">
        <f>(K18+L18+M18)*2340000</f>
        <v>9336600</v>
      </c>
    </row>
    <row r="19" spans="1:15" ht="22.5" customHeight="1" x14ac:dyDescent="0.35">
      <c r="A19" s="36">
        <v>11</v>
      </c>
      <c r="B19" s="34" t="s">
        <v>1089</v>
      </c>
      <c r="C19" s="22" t="s">
        <v>21</v>
      </c>
      <c r="D19" s="42">
        <v>2696022824</v>
      </c>
      <c r="E19" s="24" t="s">
        <v>1090</v>
      </c>
      <c r="F19" s="25" t="s">
        <v>1091</v>
      </c>
      <c r="G19" s="22" t="s">
        <v>1092</v>
      </c>
      <c r="H19" s="28" t="s">
        <v>640</v>
      </c>
      <c r="I19" s="28" t="s">
        <v>1088</v>
      </c>
      <c r="J19" s="22" t="s">
        <v>899</v>
      </c>
      <c r="K19" s="146">
        <v>3.89</v>
      </c>
      <c r="L19" s="146"/>
      <c r="M19" s="146"/>
      <c r="N19" s="36">
        <v>0.3</v>
      </c>
      <c r="O19" s="37">
        <f>(K19+L19+M19)*2340000</f>
        <v>9102600</v>
      </c>
    </row>
    <row r="20" spans="1:15" ht="22.5" customHeight="1" x14ac:dyDescent="0.35">
      <c r="A20" s="52"/>
      <c r="B20" s="101" t="s">
        <v>97</v>
      </c>
      <c r="C20" s="35"/>
      <c r="D20" s="49"/>
      <c r="E20" s="49"/>
      <c r="F20" s="50"/>
      <c r="G20" s="39"/>
      <c r="H20" s="55"/>
      <c r="I20" s="55"/>
      <c r="J20" s="39"/>
      <c r="K20" s="147"/>
      <c r="L20" s="147"/>
      <c r="M20" s="147"/>
      <c r="N20" s="52"/>
      <c r="O20" s="53"/>
    </row>
    <row r="21" spans="1:15" ht="22.5" customHeight="1" x14ac:dyDescent="0.35">
      <c r="A21" s="38">
        <v>12</v>
      </c>
      <c r="B21" s="34" t="s">
        <v>1093</v>
      </c>
      <c r="C21" s="22"/>
      <c r="D21" s="42">
        <v>2696021966</v>
      </c>
      <c r="E21" s="24" t="s">
        <v>1094</v>
      </c>
      <c r="F21" s="25" t="s">
        <v>1095</v>
      </c>
      <c r="G21" s="22" t="s">
        <v>453</v>
      </c>
      <c r="H21" s="28" t="s">
        <v>1096</v>
      </c>
      <c r="I21" s="28" t="s">
        <v>27</v>
      </c>
      <c r="J21" s="22" t="s">
        <v>50</v>
      </c>
      <c r="K21" s="146">
        <v>4.51</v>
      </c>
      <c r="L21" s="146"/>
      <c r="M21" s="146">
        <v>0.2</v>
      </c>
      <c r="N21" s="36">
        <v>0.3</v>
      </c>
      <c r="O21" s="37">
        <f>(K21+L21+M21)*2340000</f>
        <v>11021400</v>
      </c>
    </row>
    <row r="22" spans="1:15" ht="22.5" customHeight="1" x14ac:dyDescent="0.35">
      <c r="A22" s="38">
        <v>13</v>
      </c>
      <c r="B22" s="34" t="s">
        <v>1097</v>
      </c>
      <c r="C22" s="22" t="s">
        <v>21</v>
      </c>
      <c r="D22" s="42">
        <v>3410004037</v>
      </c>
      <c r="E22" s="24" t="s">
        <v>1098</v>
      </c>
      <c r="F22" s="25" t="s">
        <v>1099</v>
      </c>
      <c r="G22" s="22" t="s">
        <v>1100</v>
      </c>
      <c r="H22" s="28" t="s">
        <v>1101</v>
      </c>
      <c r="I22" s="28" t="s">
        <v>49</v>
      </c>
      <c r="J22" s="22" t="s">
        <v>96</v>
      </c>
      <c r="K22" s="146">
        <v>3.58</v>
      </c>
      <c r="L22" s="146"/>
      <c r="M22" s="146"/>
      <c r="N22" s="36">
        <v>0.3</v>
      </c>
      <c r="O22" s="37">
        <f>(K22+L22+M22)*2340000</f>
        <v>8377200</v>
      </c>
    </row>
    <row r="23" spans="1:15" ht="22.5" customHeight="1" x14ac:dyDescent="0.35">
      <c r="A23" s="36">
        <v>14</v>
      </c>
      <c r="B23" s="34" t="s">
        <v>1102</v>
      </c>
      <c r="C23" s="22" t="s">
        <v>21</v>
      </c>
      <c r="D23" s="23" t="s">
        <v>1103</v>
      </c>
      <c r="E23" s="24">
        <v>34609</v>
      </c>
      <c r="F23" s="25" t="s">
        <v>1104</v>
      </c>
      <c r="G23" s="22" t="s">
        <v>1105</v>
      </c>
      <c r="H23" s="28" t="s">
        <v>1101</v>
      </c>
      <c r="I23" s="28" t="s">
        <v>27</v>
      </c>
      <c r="J23" s="22" t="s">
        <v>155</v>
      </c>
      <c r="K23" s="146">
        <v>2.34</v>
      </c>
      <c r="L23" s="146"/>
      <c r="M23" s="146"/>
      <c r="N23" s="36">
        <v>0.3</v>
      </c>
      <c r="O23" s="37">
        <f>(K23+L23+M23)*2340000</f>
        <v>5475600</v>
      </c>
    </row>
    <row r="24" spans="1:15" ht="22.5" customHeight="1" x14ac:dyDescent="0.35">
      <c r="A24" s="38">
        <v>15</v>
      </c>
      <c r="B24" s="34" t="s">
        <v>1106</v>
      </c>
      <c r="C24" s="22"/>
      <c r="D24" s="54" t="s">
        <v>1107</v>
      </c>
      <c r="E24" s="40" t="s">
        <v>1108</v>
      </c>
      <c r="F24" s="41" t="s">
        <v>1109</v>
      </c>
      <c r="G24" s="22" t="s">
        <v>205</v>
      </c>
      <c r="H24" s="28" t="s">
        <v>1101</v>
      </c>
      <c r="I24" s="28" t="s">
        <v>27</v>
      </c>
      <c r="J24" s="22" t="s">
        <v>37</v>
      </c>
      <c r="K24" s="146">
        <v>3.27</v>
      </c>
      <c r="L24" s="146"/>
      <c r="M24" s="146"/>
      <c r="N24" s="36">
        <v>0.3</v>
      </c>
      <c r="O24" s="37">
        <f>(K24+L24+M24)*2340000</f>
        <v>7651800</v>
      </c>
    </row>
    <row r="25" spans="1:15" ht="22.5" customHeight="1" x14ac:dyDescent="0.35">
      <c r="A25" s="39"/>
      <c r="B25" s="101" t="s">
        <v>1110</v>
      </c>
      <c r="C25" s="35"/>
      <c r="D25" s="65"/>
      <c r="E25" s="65"/>
      <c r="F25" s="79"/>
      <c r="G25" s="39"/>
      <c r="H25" s="52"/>
      <c r="I25" s="52"/>
      <c r="J25" s="39"/>
      <c r="K25" s="147"/>
      <c r="L25" s="147"/>
      <c r="M25" s="147"/>
      <c r="N25" s="52"/>
      <c r="O25" s="53"/>
    </row>
    <row r="26" spans="1:15" ht="22.5" customHeight="1" x14ac:dyDescent="0.35">
      <c r="A26" s="38">
        <v>16</v>
      </c>
      <c r="B26" s="34" t="s">
        <v>1111</v>
      </c>
      <c r="C26" s="22"/>
      <c r="D26" s="42">
        <v>2696022783</v>
      </c>
      <c r="E26" s="24" t="s">
        <v>1112</v>
      </c>
      <c r="F26" s="25" t="s">
        <v>1113</v>
      </c>
      <c r="G26" s="22" t="s">
        <v>1114</v>
      </c>
      <c r="H26" s="28" t="s">
        <v>48</v>
      </c>
      <c r="I26" s="28" t="s">
        <v>1115</v>
      </c>
      <c r="J26" s="22" t="s">
        <v>164</v>
      </c>
      <c r="K26" s="146">
        <v>4.4000000000000004</v>
      </c>
      <c r="L26" s="146"/>
      <c r="M26" s="146">
        <v>0.2</v>
      </c>
      <c r="N26" s="36">
        <v>0.3</v>
      </c>
      <c r="O26" s="37">
        <f>(K26+L26+M26)*2340000</f>
        <v>10764000.000000002</v>
      </c>
    </row>
    <row r="27" spans="1:15" ht="22.5" customHeight="1" x14ac:dyDescent="0.35">
      <c r="A27" s="36">
        <v>17</v>
      </c>
      <c r="B27" s="34" t="s">
        <v>1116</v>
      </c>
      <c r="C27" s="22"/>
      <c r="D27" s="42">
        <v>2602000934</v>
      </c>
      <c r="E27" s="24" t="s">
        <v>1117</v>
      </c>
      <c r="F27" s="25" t="s">
        <v>1118</v>
      </c>
      <c r="G27" s="22" t="s">
        <v>1119</v>
      </c>
      <c r="H27" s="28" t="s">
        <v>136</v>
      </c>
      <c r="I27" s="28" t="s">
        <v>136</v>
      </c>
      <c r="J27" s="22" t="s">
        <v>160</v>
      </c>
      <c r="K27" s="146">
        <v>3.74</v>
      </c>
      <c r="L27" s="146"/>
      <c r="M27" s="146"/>
      <c r="N27" s="36">
        <v>0.3</v>
      </c>
      <c r="O27" s="37">
        <f>(K27+L27+M27)*2340000</f>
        <v>8751600</v>
      </c>
    </row>
    <row r="28" spans="1:15" ht="22.5" customHeight="1" x14ac:dyDescent="0.35">
      <c r="A28" s="38">
        <v>18</v>
      </c>
      <c r="B28" s="34" t="s">
        <v>1120</v>
      </c>
      <c r="C28" s="22"/>
      <c r="D28" s="23" t="s">
        <v>1121</v>
      </c>
      <c r="E28" s="24">
        <v>34615</v>
      </c>
      <c r="F28" s="25" t="s">
        <v>1122</v>
      </c>
      <c r="G28" s="22" t="s">
        <v>1123</v>
      </c>
      <c r="H28" s="28" t="s">
        <v>273</v>
      </c>
      <c r="I28" s="28" t="s">
        <v>273</v>
      </c>
      <c r="J28" s="22" t="s">
        <v>137</v>
      </c>
      <c r="K28" s="146">
        <v>2.31</v>
      </c>
      <c r="L28" s="146"/>
      <c r="M28" s="146"/>
      <c r="N28" s="36">
        <v>0.3</v>
      </c>
      <c r="O28" s="37">
        <f>(K28+L28+M28)*2340000</f>
        <v>5405400</v>
      </c>
    </row>
    <row r="29" spans="1:15" ht="22.5" customHeight="1" x14ac:dyDescent="0.35">
      <c r="A29" s="38">
        <v>19</v>
      </c>
      <c r="B29" s="34" t="s">
        <v>1124</v>
      </c>
      <c r="C29" s="22"/>
      <c r="D29" s="42">
        <v>2601000050</v>
      </c>
      <c r="E29" s="24" t="s">
        <v>1125</v>
      </c>
      <c r="F29" s="25" t="s">
        <v>1126</v>
      </c>
      <c r="G29" s="22" t="s">
        <v>1127</v>
      </c>
      <c r="H29" s="28" t="s">
        <v>129</v>
      </c>
      <c r="I29" s="28" t="s">
        <v>129</v>
      </c>
      <c r="J29" s="22" t="s">
        <v>164</v>
      </c>
      <c r="K29" s="146">
        <v>4.4000000000000004</v>
      </c>
      <c r="L29" s="146"/>
      <c r="M29" s="146"/>
      <c r="N29" s="36">
        <v>0.3</v>
      </c>
      <c r="O29" s="37">
        <f>(K29+L29+M29)*2340000</f>
        <v>10296000</v>
      </c>
    </row>
    <row r="30" spans="1:15" ht="22.5" customHeight="1" x14ac:dyDescent="0.35">
      <c r="A30" s="39"/>
      <c r="B30" s="101" t="s">
        <v>1128</v>
      </c>
      <c r="C30" s="35"/>
      <c r="D30" s="49"/>
      <c r="E30" s="49"/>
      <c r="F30" s="50"/>
      <c r="G30" s="39"/>
      <c r="H30" s="55"/>
      <c r="I30" s="55"/>
      <c r="J30" s="39"/>
      <c r="K30" s="147"/>
      <c r="L30" s="147"/>
      <c r="M30" s="147"/>
      <c r="N30" s="52"/>
      <c r="O30" s="53"/>
    </row>
    <row r="31" spans="1:15" ht="22.5" customHeight="1" x14ac:dyDescent="0.35">
      <c r="A31" s="36">
        <v>20</v>
      </c>
      <c r="B31" s="34" t="s">
        <v>1129</v>
      </c>
      <c r="C31" s="22"/>
      <c r="D31" s="42">
        <v>2696022802</v>
      </c>
      <c r="E31" s="24" t="s">
        <v>1130</v>
      </c>
      <c r="F31" s="25" t="s">
        <v>1131</v>
      </c>
      <c r="G31" s="22" t="s">
        <v>392</v>
      </c>
      <c r="H31" s="28" t="s">
        <v>145</v>
      </c>
      <c r="I31" s="28" t="s">
        <v>273</v>
      </c>
      <c r="J31" s="22" t="s">
        <v>164</v>
      </c>
      <c r="K31" s="146">
        <v>4.4000000000000004</v>
      </c>
      <c r="L31" s="146"/>
      <c r="M31" s="146">
        <v>0.2</v>
      </c>
      <c r="N31" s="36">
        <v>0.3</v>
      </c>
      <c r="O31" s="37">
        <f t="shared" ref="O31:O49" si="1">(K31+L31+M31)*2340000</f>
        <v>10764000.000000002</v>
      </c>
    </row>
    <row r="32" spans="1:15" ht="22.5" customHeight="1" x14ac:dyDescent="0.35">
      <c r="A32" s="38">
        <v>21</v>
      </c>
      <c r="B32" s="34" t="s">
        <v>1132</v>
      </c>
      <c r="C32" s="22"/>
      <c r="D32" s="42">
        <v>2696022841</v>
      </c>
      <c r="E32" s="24" t="s">
        <v>1133</v>
      </c>
      <c r="F32" s="25" t="s">
        <v>1134</v>
      </c>
      <c r="G32" s="22" t="s">
        <v>734</v>
      </c>
      <c r="H32" s="28" t="s">
        <v>129</v>
      </c>
      <c r="I32" s="28" t="s">
        <v>129</v>
      </c>
      <c r="J32" s="22" t="s">
        <v>160</v>
      </c>
      <c r="K32" s="146">
        <v>3.74</v>
      </c>
      <c r="L32" s="146"/>
      <c r="M32" s="146"/>
      <c r="N32" s="36">
        <v>0.3</v>
      </c>
      <c r="O32" s="37">
        <f t="shared" si="1"/>
        <v>8751600</v>
      </c>
    </row>
    <row r="33" spans="1:15" ht="22.5" customHeight="1" x14ac:dyDescent="0.35">
      <c r="A33" s="38">
        <v>22</v>
      </c>
      <c r="B33" s="34" t="s">
        <v>1135</v>
      </c>
      <c r="C33" s="22"/>
      <c r="D33" s="42">
        <v>2604002076</v>
      </c>
      <c r="E33" s="24" t="s">
        <v>1136</v>
      </c>
      <c r="F33" s="25" t="s">
        <v>1137</v>
      </c>
      <c r="G33" s="22" t="s">
        <v>1050</v>
      </c>
      <c r="H33" s="28" t="s">
        <v>136</v>
      </c>
      <c r="I33" s="28" t="s">
        <v>136</v>
      </c>
      <c r="J33" s="28" t="s">
        <v>160</v>
      </c>
      <c r="K33" s="148">
        <v>3.56</v>
      </c>
      <c r="L33" s="146"/>
      <c r="M33" s="146"/>
      <c r="N33" s="36">
        <v>0.3</v>
      </c>
      <c r="O33" s="37">
        <f t="shared" si="1"/>
        <v>8330400</v>
      </c>
    </row>
    <row r="34" spans="1:15" ht="22.5" customHeight="1" x14ac:dyDescent="0.35">
      <c r="A34" s="36">
        <v>23</v>
      </c>
      <c r="B34" s="34" t="s">
        <v>1138</v>
      </c>
      <c r="C34" s="22"/>
      <c r="D34" s="42">
        <v>2696022834</v>
      </c>
      <c r="E34" s="24" t="s">
        <v>1139</v>
      </c>
      <c r="F34" s="25" t="s">
        <v>1140</v>
      </c>
      <c r="G34" s="22" t="s">
        <v>392</v>
      </c>
      <c r="H34" s="28" t="s">
        <v>136</v>
      </c>
      <c r="I34" s="28" t="s">
        <v>136</v>
      </c>
      <c r="J34" s="22" t="s">
        <v>164</v>
      </c>
      <c r="K34" s="146">
        <v>4.2</v>
      </c>
      <c r="L34" s="146"/>
      <c r="M34" s="146"/>
      <c r="N34" s="36">
        <v>0.3</v>
      </c>
      <c r="O34" s="37">
        <f t="shared" si="1"/>
        <v>9828000</v>
      </c>
    </row>
    <row r="35" spans="1:15" ht="22.5" customHeight="1" x14ac:dyDescent="0.35">
      <c r="A35" s="38">
        <v>24</v>
      </c>
      <c r="B35" s="34" t="s">
        <v>1141</v>
      </c>
      <c r="C35" s="22" t="s">
        <v>21</v>
      </c>
      <c r="D35" s="42">
        <v>2696022795</v>
      </c>
      <c r="E35" s="24" t="s">
        <v>1142</v>
      </c>
      <c r="F35" s="25" t="s">
        <v>1143</v>
      </c>
      <c r="G35" s="22" t="s">
        <v>652</v>
      </c>
      <c r="H35" s="28" t="s">
        <v>136</v>
      </c>
      <c r="I35" s="28" t="s">
        <v>136</v>
      </c>
      <c r="J35" s="22" t="s">
        <v>164</v>
      </c>
      <c r="K35" s="146">
        <v>4.2</v>
      </c>
      <c r="L35" s="146"/>
      <c r="M35" s="146"/>
      <c r="N35" s="36">
        <v>0.3</v>
      </c>
      <c r="O35" s="37">
        <f t="shared" si="1"/>
        <v>9828000</v>
      </c>
    </row>
    <row r="36" spans="1:15" ht="22.5" customHeight="1" x14ac:dyDescent="0.35">
      <c r="A36" s="38">
        <v>25</v>
      </c>
      <c r="B36" s="34" t="s">
        <v>1144</v>
      </c>
      <c r="C36" s="22" t="s">
        <v>21</v>
      </c>
      <c r="D36" s="23" t="s">
        <v>1145</v>
      </c>
      <c r="E36" s="24" t="s">
        <v>1146</v>
      </c>
      <c r="F36" s="25" t="s">
        <v>1147</v>
      </c>
      <c r="G36" s="22" t="s">
        <v>392</v>
      </c>
      <c r="H36" s="28" t="s">
        <v>225</v>
      </c>
      <c r="I36" s="28" t="s">
        <v>225</v>
      </c>
      <c r="J36" s="22" t="s">
        <v>160</v>
      </c>
      <c r="K36" s="146">
        <v>3.56</v>
      </c>
      <c r="L36" s="146"/>
      <c r="M36" s="146"/>
      <c r="N36" s="36">
        <v>0.3</v>
      </c>
      <c r="O36" s="37">
        <f t="shared" si="1"/>
        <v>8330400</v>
      </c>
    </row>
    <row r="37" spans="1:15" ht="22.5" customHeight="1" x14ac:dyDescent="0.35">
      <c r="A37" s="36">
        <v>26</v>
      </c>
      <c r="B37" s="34" t="s">
        <v>1148</v>
      </c>
      <c r="C37" s="22" t="s">
        <v>21</v>
      </c>
      <c r="D37" s="42">
        <v>2696022843</v>
      </c>
      <c r="E37" s="24" t="s">
        <v>1149</v>
      </c>
      <c r="F37" s="25" t="s">
        <v>1150</v>
      </c>
      <c r="G37" s="22" t="s">
        <v>400</v>
      </c>
      <c r="H37" s="28" t="s">
        <v>225</v>
      </c>
      <c r="I37" s="28" t="s">
        <v>225</v>
      </c>
      <c r="J37" s="22" t="s">
        <v>164</v>
      </c>
      <c r="K37" s="146">
        <v>4.2</v>
      </c>
      <c r="L37" s="146"/>
      <c r="M37" s="146"/>
      <c r="N37" s="36">
        <v>0.3</v>
      </c>
      <c r="O37" s="37">
        <f t="shared" si="1"/>
        <v>9828000</v>
      </c>
    </row>
    <row r="38" spans="1:15" ht="22.5" customHeight="1" x14ac:dyDescent="0.35">
      <c r="A38" s="38">
        <v>27</v>
      </c>
      <c r="B38" s="34" t="s">
        <v>1151</v>
      </c>
      <c r="C38" s="22" t="s">
        <v>21</v>
      </c>
      <c r="D38" s="42">
        <v>2697039766</v>
      </c>
      <c r="E38" s="24" t="s">
        <v>1152</v>
      </c>
      <c r="F38" s="25" t="s">
        <v>1153</v>
      </c>
      <c r="G38" s="22" t="s">
        <v>842</v>
      </c>
      <c r="H38" s="28" t="s">
        <v>225</v>
      </c>
      <c r="I38" s="28" t="s">
        <v>225</v>
      </c>
      <c r="J38" s="22" t="s">
        <v>160</v>
      </c>
      <c r="K38" s="146">
        <v>3.56</v>
      </c>
      <c r="L38" s="146"/>
      <c r="M38" s="146"/>
      <c r="N38" s="36">
        <v>0.3</v>
      </c>
      <c r="O38" s="37">
        <f t="shared" si="1"/>
        <v>8330400</v>
      </c>
    </row>
    <row r="39" spans="1:15" ht="22.5" customHeight="1" x14ac:dyDescent="0.35">
      <c r="A39" s="38">
        <v>28</v>
      </c>
      <c r="B39" s="34" t="s">
        <v>1154</v>
      </c>
      <c r="C39" s="22"/>
      <c r="D39" s="42">
        <v>2602000929</v>
      </c>
      <c r="E39" s="24" t="s">
        <v>1155</v>
      </c>
      <c r="F39" s="25" t="s">
        <v>1156</v>
      </c>
      <c r="G39" s="22" t="s">
        <v>1157</v>
      </c>
      <c r="H39" s="28" t="s">
        <v>225</v>
      </c>
      <c r="I39" s="28" t="s">
        <v>225</v>
      </c>
      <c r="J39" s="28" t="s">
        <v>160</v>
      </c>
      <c r="K39" s="146">
        <v>3.56</v>
      </c>
      <c r="L39" s="146"/>
      <c r="M39" s="146">
        <v>0.1</v>
      </c>
      <c r="N39" s="36">
        <v>0.3</v>
      </c>
      <c r="O39" s="37">
        <f t="shared" si="1"/>
        <v>8564400</v>
      </c>
    </row>
    <row r="40" spans="1:15" ht="22.5" customHeight="1" x14ac:dyDescent="0.35">
      <c r="A40" s="36">
        <v>29</v>
      </c>
      <c r="B40" s="34" t="s">
        <v>1158</v>
      </c>
      <c r="C40" s="22"/>
      <c r="D40" s="42">
        <v>2696022839</v>
      </c>
      <c r="E40" s="24" t="s">
        <v>1159</v>
      </c>
      <c r="F40" s="25" t="s">
        <v>1160</v>
      </c>
      <c r="G40" s="22" t="s">
        <v>400</v>
      </c>
      <c r="H40" s="28" t="s">
        <v>136</v>
      </c>
      <c r="I40" s="28" t="s">
        <v>136</v>
      </c>
      <c r="J40" s="22" t="s">
        <v>160</v>
      </c>
      <c r="K40" s="146">
        <v>3.56</v>
      </c>
      <c r="L40" s="146"/>
      <c r="M40" s="146"/>
      <c r="N40" s="36">
        <v>0.3</v>
      </c>
      <c r="O40" s="37">
        <f t="shared" si="1"/>
        <v>8330400</v>
      </c>
    </row>
    <row r="41" spans="1:15" ht="22.5" customHeight="1" x14ac:dyDescent="0.35">
      <c r="A41" s="38">
        <v>30</v>
      </c>
      <c r="B41" s="34" t="s">
        <v>1161</v>
      </c>
      <c r="C41" s="22" t="s">
        <v>21</v>
      </c>
      <c r="D41" s="42">
        <v>2603001328</v>
      </c>
      <c r="E41" s="24" t="s">
        <v>1162</v>
      </c>
      <c r="F41" s="25" t="s">
        <v>1163</v>
      </c>
      <c r="G41" s="22" t="s">
        <v>1119</v>
      </c>
      <c r="H41" s="28" t="s">
        <v>225</v>
      </c>
      <c r="I41" s="28" t="s">
        <v>225</v>
      </c>
      <c r="J41" s="22" t="s">
        <v>164</v>
      </c>
      <c r="K41" s="146">
        <v>4.2</v>
      </c>
      <c r="L41" s="146"/>
      <c r="M41" s="146"/>
      <c r="N41" s="36">
        <v>0.3</v>
      </c>
      <c r="O41" s="37">
        <f t="shared" si="1"/>
        <v>9828000</v>
      </c>
    </row>
    <row r="42" spans="1:15" ht="22.5" customHeight="1" x14ac:dyDescent="0.35">
      <c r="A42" s="38">
        <v>31</v>
      </c>
      <c r="B42" s="34" t="s">
        <v>994</v>
      </c>
      <c r="C42" s="22" t="s">
        <v>21</v>
      </c>
      <c r="D42" s="23" t="s">
        <v>1164</v>
      </c>
      <c r="E42" s="24" t="s">
        <v>1165</v>
      </c>
      <c r="F42" s="25" t="s">
        <v>1166</v>
      </c>
      <c r="G42" s="22" t="s">
        <v>234</v>
      </c>
      <c r="H42" s="28" t="s">
        <v>225</v>
      </c>
      <c r="I42" s="28" t="s">
        <v>225</v>
      </c>
      <c r="J42" s="22" t="s">
        <v>160</v>
      </c>
      <c r="K42" s="146">
        <v>3.56</v>
      </c>
      <c r="L42" s="146"/>
      <c r="M42" s="146"/>
      <c r="N42" s="36">
        <v>0.3</v>
      </c>
      <c r="O42" s="37">
        <f t="shared" si="1"/>
        <v>8330400</v>
      </c>
    </row>
    <row r="43" spans="1:15" ht="22.5" customHeight="1" x14ac:dyDescent="0.35">
      <c r="A43" s="36">
        <v>32</v>
      </c>
      <c r="B43" s="34" t="s">
        <v>1167</v>
      </c>
      <c r="C43" s="22" t="s">
        <v>21</v>
      </c>
      <c r="D43" s="42">
        <v>2602000928</v>
      </c>
      <c r="E43" s="24" t="s">
        <v>1168</v>
      </c>
      <c r="F43" s="25" t="s">
        <v>1169</v>
      </c>
      <c r="G43" s="22" t="s">
        <v>1157</v>
      </c>
      <c r="H43" s="28" t="s">
        <v>225</v>
      </c>
      <c r="I43" s="28" t="s">
        <v>225</v>
      </c>
      <c r="J43" s="22" t="s">
        <v>164</v>
      </c>
      <c r="K43" s="146">
        <v>4.2</v>
      </c>
      <c r="L43" s="146"/>
      <c r="M43" s="146"/>
      <c r="N43" s="36">
        <v>0.3</v>
      </c>
      <c r="O43" s="37">
        <f t="shared" si="1"/>
        <v>9828000</v>
      </c>
    </row>
    <row r="44" spans="1:15" ht="22.5" customHeight="1" x14ac:dyDescent="0.35">
      <c r="A44" s="38">
        <v>33</v>
      </c>
      <c r="B44" s="34" t="s">
        <v>1170</v>
      </c>
      <c r="C44" s="22"/>
      <c r="D44" s="42">
        <v>2696022775</v>
      </c>
      <c r="E44" s="24" t="s">
        <v>1171</v>
      </c>
      <c r="F44" s="25" t="s">
        <v>1172</v>
      </c>
      <c r="G44" s="22" t="s">
        <v>652</v>
      </c>
      <c r="H44" s="28" t="s">
        <v>129</v>
      </c>
      <c r="I44" s="28" t="s">
        <v>129</v>
      </c>
      <c r="J44" s="22" t="s">
        <v>164</v>
      </c>
      <c r="K44" s="146">
        <v>4.4000000000000004</v>
      </c>
      <c r="L44" s="146"/>
      <c r="M44" s="146"/>
      <c r="N44" s="36">
        <v>0.3</v>
      </c>
      <c r="O44" s="37">
        <f t="shared" si="1"/>
        <v>10296000</v>
      </c>
    </row>
    <row r="45" spans="1:15" ht="22.5" customHeight="1" x14ac:dyDescent="0.35">
      <c r="A45" s="38">
        <v>34</v>
      </c>
      <c r="B45" s="34" t="s">
        <v>1173</v>
      </c>
      <c r="C45" s="22" t="s">
        <v>21</v>
      </c>
      <c r="D45" s="42">
        <v>3412001418</v>
      </c>
      <c r="E45" s="40" t="s">
        <v>1174</v>
      </c>
      <c r="F45" s="41" t="s">
        <v>1175</v>
      </c>
      <c r="G45" s="22" t="s">
        <v>1176</v>
      </c>
      <c r="H45" s="28" t="s">
        <v>136</v>
      </c>
      <c r="I45" s="28" t="s">
        <v>666</v>
      </c>
      <c r="J45" s="28" t="s">
        <v>37</v>
      </c>
      <c r="K45" s="148">
        <v>3.27</v>
      </c>
      <c r="L45" s="148"/>
      <c r="M45" s="148"/>
      <c r="N45" s="36">
        <v>0.3</v>
      </c>
      <c r="O45" s="37">
        <f t="shared" si="1"/>
        <v>7651800</v>
      </c>
    </row>
    <row r="46" spans="1:15" ht="22.5" customHeight="1" x14ac:dyDescent="0.35">
      <c r="A46" s="36">
        <v>35</v>
      </c>
      <c r="B46" s="34" t="s">
        <v>1177</v>
      </c>
      <c r="C46" s="22"/>
      <c r="D46" s="42">
        <v>2607002124</v>
      </c>
      <c r="E46" s="24" t="s">
        <v>1178</v>
      </c>
      <c r="F46" s="25" t="s">
        <v>1179</v>
      </c>
      <c r="G46" s="22" t="s">
        <v>628</v>
      </c>
      <c r="H46" s="28" t="s">
        <v>136</v>
      </c>
      <c r="I46" s="28" t="s">
        <v>136</v>
      </c>
      <c r="J46" s="28" t="s">
        <v>130</v>
      </c>
      <c r="K46" s="148">
        <v>3.01</v>
      </c>
      <c r="L46" s="146"/>
      <c r="M46" s="146"/>
      <c r="N46" s="36">
        <v>0.3</v>
      </c>
      <c r="O46" s="37">
        <f t="shared" si="1"/>
        <v>7043399.9999999991</v>
      </c>
    </row>
    <row r="47" spans="1:15" ht="22.5" customHeight="1" x14ac:dyDescent="0.35">
      <c r="A47" s="38">
        <v>36</v>
      </c>
      <c r="B47" s="34" t="s">
        <v>1180</v>
      </c>
      <c r="C47" s="22"/>
      <c r="D47" s="23" t="s">
        <v>1181</v>
      </c>
      <c r="E47" s="24" t="s">
        <v>1182</v>
      </c>
      <c r="F47" s="25" t="s">
        <v>1183</v>
      </c>
      <c r="G47" s="22" t="s">
        <v>1184</v>
      </c>
      <c r="H47" s="28" t="s">
        <v>225</v>
      </c>
      <c r="I47" s="28" t="s">
        <v>225</v>
      </c>
      <c r="J47" s="22" t="s">
        <v>137</v>
      </c>
      <c r="K47" s="146">
        <v>2.16</v>
      </c>
      <c r="L47" s="146"/>
      <c r="M47" s="146"/>
      <c r="N47" s="36">
        <v>0.3</v>
      </c>
      <c r="O47" s="37">
        <f t="shared" si="1"/>
        <v>5054400</v>
      </c>
    </row>
    <row r="48" spans="1:15" ht="22.5" customHeight="1" x14ac:dyDescent="0.35">
      <c r="A48" s="38">
        <v>37</v>
      </c>
      <c r="B48" s="34" t="s">
        <v>1185</v>
      </c>
      <c r="C48" s="22"/>
      <c r="D48" s="42">
        <v>2696039416</v>
      </c>
      <c r="E48" s="24" t="s">
        <v>1186</v>
      </c>
      <c r="F48" s="25" t="s">
        <v>1187</v>
      </c>
      <c r="G48" s="22" t="s">
        <v>1025</v>
      </c>
      <c r="H48" s="28" t="s">
        <v>225</v>
      </c>
      <c r="I48" s="28" t="s">
        <v>225</v>
      </c>
      <c r="J48" s="22" t="s">
        <v>160</v>
      </c>
      <c r="K48" s="146">
        <v>3.56</v>
      </c>
      <c r="L48" s="146"/>
      <c r="M48" s="146"/>
      <c r="N48" s="36">
        <v>0.3</v>
      </c>
      <c r="O48" s="37">
        <f t="shared" si="1"/>
        <v>8330400</v>
      </c>
    </row>
    <row r="49" spans="1:15" ht="22.5" customHeight="1" x14ac:dyDescent="0.35">
      <c r="A49" s="36">
        <v>38</v>
      </c>
      <c r="B49" s="34" t="s">
        <v>1188</v>
      </c>
      <c r="C49" s="22"/>
      <c r="D49" s="42">
        <v>2696021979</v>
      </c>
      <c r="E49" s="24" t="s">
        <v>1189</v>
      </c>
      <c r="F49" s="25" t="s">
        <v>1190</v>
      </c>
      <c r="G49" s="22" t="s">
        <v>1191</v>
      </c>
      <c r="H49" s="28" t="s">
        <v>136</v>
      </c>
      <c r="I49" s="28" t="s">
        <v>136</v>
      </c>
      <c r="J49" s="22" t="s">
        <v>164</v>
      </c>
      <c r="K49" s="146">
        <v>4.2</v>
      </c>
      <c r="L49" s="146"/>
      <c r="M49" s="146"/>
      <c r="N49" s="36">
        <v>0.3</v>
      </c>
      <c r="O49" s="37">
        <f t="shared" si="1"/>
        <v>9828000</v>
      </c>
    </row>
    <row r="50" spans="1:15" ht="22.5" customHeight="1" x14ac:dyDescent="0.35">
      <c r="A50" s="52"/>
      <c r="B50" s="101" t="s">
        <v>1192</v>
      </c>
      <c r="C50" s="35"/>
      <c r="D50" s="49"/>
      <c r="E50" s="49"/>
      <c r="F50" s="50"/>
      <c r="G50" s="39"/>
      <c r="H50" s="55"/>
      <c r="I50" s="55"/>
      <c r="J50" s="39"/>
      <c r="K50" s="147"/>
      <c r="L50" s="147"/>
      <c r="M50" s="147"/>
      <c r="N50" s="52"/>
      <c r="O50" s="53"/>
    </row>
    <row r="51" spans="1:15" ht="22.5" customHeight="1" x14ac:dyDescent="0.35">
      <c r="A51" s="38">
        <v>39</v>
      </c>
      <c r="B51" s="34" t="s">
        <v>1193</v>
      </c>
      <c r="C51" s="22"/>
      <c r="D51" s="23" t="s">
        <v>1194</v>
      </c>
      <c r="E51" s="24" t="s">
        <v>1195</v>
      </c>
      <c r="F51" s="25" t="s">
        <v>1196</v>
      </c>
      <c r="G51" s="22" t="s">
        <v>1197</v>
      </c>
      <c r="H51" s="28" t="s">
        <v>145</v>
      </c>
      <c r="I51" s="28" t="s">
        <v>27</v>
      </c>
      <c r="J51" s="22" t="s">
        <v>50</v>
      </c>
      <c r="K51" s="146">
        <v>4.51</v>
      </c>
      <c r="L51" s="146"/>
      <c r="M51" s="146">
        <v>0.2</v>
      </c>
      <c r="N51" s="36">
        <v>0.3</v>
      </c>
      <c r="O51" s="37">
        <f t="shared" ref="O51:O60" si="2">(K51+L51+M51)*2340000</f>
        <v>11021400</v>
      </c>
    </row>
    <row r="52" spans="1:15" ht="22.5" customHeight="1" x14ac:dyDescent="0.35">
      <c r="A52" s="38">
        <v>40</v>
      </c>
      <c r="B52" s="34" t="s">
        <v>1198</v>
      </c>
      <c r="C52" s="22"/>
      <c r="D52" s="42">
        <v>2604002073</v>
      </c>
      <c r="E52" s="24" t="s">
        <v>1199</v>
      </c>
      <c r="F52" s="25" t="s">
        <v>1200</v>
      </c>
      <c r="G52" s="22" t="s">
        <v>1050</v>
      </c>
      <c r="H52" s="28" t="s">
        <v>136</v>
      </c>
      <c r="I52" s="28" t="s">
        <v>136</v>
      </c>
      <c r="J52" s="28" t="s">
        <v>160</v>
      </c>
      <c r="K52" s="146">
        <v>3.56</v>
      </c>
      <c r="L52" s="146"/>
      <c r="M52" s="146"/>
      <c r="N52" s="36">
        <v>0.3</v>
      </c>
      <c r="O52" s="37">
        <f t="shared" si="2"/>
        <v>8330400</v>
      </c>
    </row>
    <row r="53" spans="1:15" ht="22.5" customHeight="1" x14ac:dyDescent="0.35">
      <c r="A53" s="36">
        <v>41</v>
      </c>
      <c r="B53" s="34" t="s">
        <v>1201</v>
      </c>
      <c r="C53" s="22"/>
      <c r="D53" s="23" t="s">
        <v>1202</v>
      </c>
      <c r="E53" s="24" t="s">
        <v>1203</v>
      </c>
      <c r="F53" s="25" t="s">
        <v>1204</v>
      </c>
      <c r="G53" s="22" t="s">
        <v>1157</v>
      </c>
      <c r="H53" s="28" t="s">
        <v>136</v>
      </c>
      <c r="I53" s="28" t="s">
        <v>136</v>
      </c>
      <c r="J53" s="22" t="s">
        <v>164</v>
      </c>
      <c r="K53" s="146">
        <v>4.2</v>
      </c>
      <c r="L53" s="146"/>
      <c r="M53" s="146"/>
      <c r="N53" s="36">
        <v>0.3</v>
      </c>
      <c r="O53" s="37">
        <f t="shared" si="2"/>
        <v>9828000</v>
      </c>
    </row>
    <row r="54" spans="1:15" ht="22.5" customHeight="1" x14ac:dyDescent="0.35">
      <c r="A54" s="38">
        <v>42</v>
      </c>
      <c r="B54" s="34" t="s">
        <v>1205</v>
      </c>
      <c r="C54" s="22" t="s">
        <v>21</v>
      </c>
      <c r="D54" s="42">
        <v>2602000918</v>
      </c>
      <c r="E54" s="24" t="s">
        <v>1206</v>
      </c>
      <c r="F54" s="25" t="s">
        <v>1207</v>
      </c>
      <c r="G54" s="22" t="s">
        <v>881</v>
      </c>
      <c r="H54" s="28" t="s">
        <v>136</v>
      </c>
      <c r="I54" s="28" t="s">
        <v>136</v>
      </c>
      <c r="J54" s="28" t="s">
        <v>160</v>
      </c>
      <c r="K54" s="146">
        <v>3.56</v>
      </c>
      <c r="L54" s="146"/>
      <c r="M54" s="146"/>
      <c r="N54" s="36">
        <v>0.3</v>
      </c>
      <c r="O54" s="37">
        <f t="shared" si="2"/>
        <v>8330400</v>
      </c>
    </row>
    <row r="55" spans="1:15" ht="22.5" customHeight="1" x14ac:dyDescent="0.35">
      <c r="A55" s="38">
        <v>43</v>
      </c>
      <c r="B55" s="34" t="s">
        <v>1208</v>
      </c>
      <c r="C55" s="22" t="s">
        <v>21</v>
      </c>
      <c r="D55" s="42">
        <v>2602000921</v>
      </c>
      <c r="E55" s="24" t="s">
        <v>1209</v>
      </c>
      <c r="F55" s="25" t="s">
        <v>1210</v>
      </c>
      <c r="G55" s="22" t="s">
        <v>881</v>
      </c>
      <c r="H55" s="28" t="s">
        <v>136</v>
      </c>
      <c r="I55" s="28" t="s">
        <v>136</v>
      </c>
      <c r="J55" s="28" t="s">
        <v>160</v>
      </c>
      <c r="K55" s="146">
        <v>3.56</v>
      </c>
      <c r="L55" s="146"/>
      <c r="M55" s="146"/>
      <c r="N55" s="36">
        <v>0.3</v>
      </c>
      <c r="O55" s="37">
        <f t="shared" si="2"/>
        <v>8330400</v>
      </c>
    </row>
    <row r="56" spans="1:15" ht="22.5" customHeight="1" x14ac:dyDescent="0.35">
      <c r="A56" s="36">
        <v>44</v>
      </c>
      <c r="B56" s="34" t="s">
        <v>1211</v>
      </c>
      <c r="C56" s="22"/>
      <c r="D56" s="42">
        <v>2603001321</v>
      </c>
      <c r="E56" s="24" t="s">
        <v>1212</v>
      </c>
      <c r="F56" s="25" t="s">
        <v>1213</v>
      </c>
      <c r="G56" s="22" t="s">
        <v>1119</v>
      </c>
      <c r="H56" s="28" t="s">
        <v>136</v>
      </c>
      <c r="I56" s="28" t="s">
        <v>136</v>
      </c>
      <c r="J56" s="28" t="s">
        <v>160</v>
      </c>
      <c r="K56" s="146">
        <v>3.56</v>
      </c>
      <c r="L56" s="146"/>
      <c r="M56" s="146"/>
      <c r="N56" s="36">
        <v>0.3</v>
      </c>
      <c r="O56" s="37">
        <f t="shared" si="2"/>
        <v>8330400</v>
      </c>
    </row>
    <row r="57" spans="1:15" ht="22.5" customHeight="1" x14ac:dyDescent="0.35">
      <c r="A57" s="38">
        <v>45</v>
      </c>
      <c r="B57" s="34" t="s">
        <v>437</v>
      </c>
      <c r="C57" s="22" t="s">
        <v>21</v>
      </c>
      <c r="D57" s="42">
        <v>2604003970</v>
      </c>
      <c r="E57" s="24" t="s">
        <v>1214</v>
      </c>
      <c r="F57" s="25" t="s">
        <v>1215</v>
      </c>
      <c r="G57" s="22" t="s">
        <v>1216</v>
      </c>
      <c r="H57" s="28" t="s">
        <v>136</v>
      </c>
      <c r="I57" s="28" t="s">
        <v>136</v>
      </c>
      <c r="J57" s="28" t="s">
        <v>160</v>
      </c>
      <c r="K57" s="146">
        <v>3.56</v>
      </c>
      <c r="L57" s="146"/>
      <c r="M57" s="146"/>
      <c r="N57" s="36">
        <v>0.3</v>
      </c>
      <c r="O57" s="37">
        <f t="shared" si="2"/>
        <v>8330400</v>
      </c>
    </row>
    <row r="58" spans="1:15" ht="22.5" customHeight="1" x14ac:dyDescent="0.35">
      <c r="A58" s="38">
        <v>46</v>
      </c>
      <c r="B58" s="34" t="s">
        <v>1217</v>
      </c>
      <c r="C58" s="22"/>
      <c r="D58" s="42">
        <v>2603001324</v>
      </c>
      <c r="E58" s="24" t="s">
        <v>1218</v>
      </c>
      <c r="F58" s="25" t="s">
        <v>1219</v>
      </c>
      <c r="G58" s="22" t="s">
        <v>1119</v>
      </c>
      <c r="H58" s="28" t="s">
        <v>136</v>
      </c>
      <c r="I58" s="28" t="s">
        <v>136</v>
      </c>
      <c r="J58" s="28" t="s">
        <v>160</v>
      </c>
      <c r="K58" s="146">
        <v>3.56</v>
      </c>
      <c r="L58" s="146"/>
      <c r="M58" s="146"/>
      <c r="N58" s="36">
        <v>0.3</v>
      </c>
      <c r="O58" s="37">
        <f t="shared" si="2"/>
        <v>8330400</v>
      </c>
    </row>
    <row r="59" spans="1:15" ht="22.5" customHeight="1" x14ac:dyDescent="0.35">
      <c r="A59" s="36">
        <v>47</v>
      </c>
      <c r="B59" s="34" t="s">
        <v>1220</v>
      </c>
      <c r="C59" s="22"/>
      <c r="D59" s="54" t="s">
        <v>1221</v>
      </c>
      <c r="E59" s="40" t="s">
        <v>1222</v>
      </c>
      <c r="F59" s="41" t="s">
        <v>1223</v>
      </c>
      <c r="G59" s="22" t="s">
        <v>230</v>
      </c>
      <c r="H59" s="28" t="s">
        <v>136</v>
      </c>
      <c r="I59" s="28" t="s">
        <v>27</v>
      </c>
      <c r="J59" s="22" t="s">
        <v>90</v>
      </c>
      <c r="K59" s="146">
        <v>2.65</v>
      </c>
      <c r="L59" s="146"/>
      <c r="M59" s="146"/>
      <c r="N59" s="36">
        <v>0.3</v>
      </c>
      <c r="O59" s="37">
        <f t="shared" si="2"/>
        <v>6201000</v>
      </c>
    </row>
    <row r="60" spans="1:15" ht="22.5" customHeight="1" x14ac:dyDescent="0.35">
      <c r="A60" s="38">
        <v>48</v>
      </c>
      <c r="B60" s="34" t="s">
        <v>1224</v>
      </c>
      <c r="C60" s="22" t="s">
        <v>21</v>
      </c>
      <c r="D60" s="42">
        <v>2603001323</v>
      </c>
      <c r="E60" s="24" t="s">
        <v>743</v>
      </c>
      <c r="F60" s="25" t="s">
        <v>1225</v>
      </c>
      <c r="G60" s="22" t="s">
        <v>1119</v>
      </c>
      <c r="H60" s="28" t="s">
        <v>136</v>
      </c>
      <c r="I60" s="28" t="s">
        <v>136</v>
      </c>
      <c r="J60" s="28" t="s">
        <v>160</v>
      </c>
      <c r="K60" s="146">
        <v>3.56</v>
      </c>
      <c r="L60" s="146"/>
      <c r="M60" s="146"/>
      <c r="N60" s="36">
        <v>0.3</v>
      </c>
      <c r="O60" s="37">
        <f t="shared" si="2"/>
        <v>8330400</v>
      </c>
    </row>
    <row r="61" spans="1:15" ht="22.5" customHeight="1" x14ac:dyDescent="0.35">
      <c r="A61" s="39"/>
      <c r="B61" s="101" t="s">
        <v>1226</v>
      </c>
      <c r="C61" s="35"/>
      <c r="D61" s="49"/>
      <c r="E61" s="49"/>
      <c r="F61" s="50"/>
      <c r="G61" s="39"/>
      <c r="H61" s="55"/>
      <c r="I61" s="55"/>
      <c r="J61" s="52"/>
      <c r="K61" s="147"/>
      <c r="L61" s="147"/>
      <c r="M61" s="147"/>
      <c r="N61" s="52"/>
      <c r="O61" s="53"/>
    </row>
    <row r="62" spans="1:15" ht="22.5" customHeight="1" x14ac:dyDescent="0.35">
      <c r="A62" s="38">
        <v>49</v>
      </c>
      <c r="B62" s="34" t="s">
        <v>1227</v>
      </c>
      <c r="C62" s="22" t="s">
        <v>21</v>
      </c>
      <c r="D62" s="42">
        <v>2696021976</v>
      </c>
      <c r="E62" s="24" t="s">
        <v>1228</v>
      </c>
      <c r="F62" s="25" t="s">
        <v>1229</v>
      </c>
      <c r="G62" s="22" t="s">
        <v>1230</v>
      </c>
      <c r="H62" s="28" t="s">
        <v>145</v>
      </c>
      <c r="I62" s="28" t="s">
        <v>180</v>
      </c>
      <c r="J62" s="22" t="s">
        <v>899</v>
      </c>
      <c r="K62" s="146">
        <v>3.89</v>
      </c>
      <c r="L62" s="146"/>
      <c r="M62" s="146">
        <v>0.2</v>
      </c>
      <c r="N62" s="36">
        <v>0.3</v>
      </c>
      <c r="O62" s="37">
        <f t="shared" ref="O62:O68" si="3">(K62+L62+M62)*2340000</f>
        <v>9570600</v>
      </c>
    </row>
    <row r="63" spans="1:15" ht="22.5" customHeight="1" x14ac:dyDescent="0.35">
      <c r="A63" s="36">
        <v>50</v>
      </c>
      <c r="B63" s="34" t="s">
        <v>1231</v>
      </c>
      <c r="C63" s="22" t="s">
        <v>21</v>
      </c>
      <c r="D63" s="42">
        <v>2696022814</v>
      </c>
      <c r="E63" s="24" t="s">
        <v>1232</v>
      </c>
      <c r="F63" s="25" t="s">
        <v>1233</v>
      </c>
      <c r="G63" s="22" t="s">
        <v>1234</v>
      </c>
      <c r="H63" s="28" t="s">
        <v>136</v>
      </c>
      <c r="I63" s="28" t="s">
        <v>136</v>
      </c>
      <c r="J63" s="22" t="s">
        <v>164</v>
      </c>
      <c r="K63" s="146">
        <v>4.2</v>
      </c>
      <c r="L63" s="146"/>
      <c r="M63" s="146"/>
      <c r="N63" s="36">
        <v>0.3</v>
      </c>
      <c r="O63" s="37">
        <f t="shared" si="3"/>
        <v>9828000</v>
      </c>
    </row>
    <row r="64" spans="1:15" ht="22.5" customHeight="1" x14ac:dyDescent="0.35">
      <c r="A64" s="38">
        <v>51</v>
      </c>
      <c r="B64" s="34" t="s">
        <v>1235</v>
      </c>
      <c r="C64" s="22"/>
      <c r="D64" s="23" t="s">
        <v>1236</v>
      </c>
      <c r="E64" s="24" t="s">
        <v>1237</v>
      </c>
      <c r="F64" s="25" t="s">
        <v>1238</v>
      </c>
      <c r="G64" s="22" t="s">
        <v>380</v>
      </c>
      <c r="H64" s="28" t="s">
        <v>136</v>
      </c>
      <c r="I64" s="28" t="s">
        <v>180</v>
      </c>
      <c r="J64" s="22" t="s">
        <v>899</v>
      </c>
      <c r="K64" s="146">
        <v>3.89</v>
      </c>
      <c r="L64" s="146"/>
      <c r="M64" s="146"/>
      <c r="N64" s="36">
        <v>0.3</v>
      </c>
      <c r="O64" s="37">
        <f t="shared" si="3"/>
        <v>9102600</v>
      </c>
    </row>
    <row r="65" spans="1:15" ht="22.5" customHeight="1" x14ac:dyDescent="0.35">
      <c r="A65" s="38">
        <v>52</v>
      </c>
      <c r="B65" s="34" t="s">
        <v>1239</v>
      </c>
      <c r="C65" s="22" t="s">
        <v>21</v>
      </c>
      <c r="D65" s="23" t="s">
        <v>1240</v>
      </c>
      <c r="E65" s="24" t="s">
        <v>1241</v>
      </c>
      <c r="F65" s="25" t="s">
        <v>1242</v>
      </c>
      <c r="G65" s="22" t="s">
        <v>392</v>
      </c>
      <c r="H65" s="28" t="s">
        <v>136</v>
      </c>
      <c r="I65" s="28" t="s">
        <v>136</v>
      </c>
      <c r="J65" s="22" t="s">
        <v>164</v>
      </c>
      <c r="K65" s="146">
        <v>4.2</v>
      </c>
      <c r="L65" s="146"/>
      <c r="M65" s="146"/>
      <c r="N65" s="36">
        <v>0.3</v>
      </c>
      <c r="O65" s="37">
        <f t="shared" si="3"/>
        <v>9828000</v>
      </c>
    </row>
    <row r="66" spans="1:15" ht="22.5" customHeight="1" x14ac:dyDescent="0.35">
      <c r="A66" s="36">
        <v>53</v>
      </c>
      <c r="B66" s="34" t="s">
        <v>1243</v>
      </c>
      <c r="C66" s="22"/>
      <c r="D66" s="42">
        <v>2696022800</v>
      </c>
      <c r="E66" s="24" t="s">
        <v>1244</v>
      </c>
      <c r="F66" s="25" t="s">
        <v>1245</v>
      </c>
      <c r="G66" s="22" t="s">
        <v>734</v>
      </c>
      <c r="H66" s="28" t="s">
        <v>129</v>
      </c>
      <c r="I66" s="28" t="s">
        <v>129</v>
      </c>
      <c r="J66" s="22" t="s">
        <v>160</v>
      </c>
      <c r="K66" s="146">
        <v>3.74</v>
      </c>
      <c r="L66" s="146"/>
      <c r="M66" s="146"/>
      <c r="N66" s="36">
        <v>0.3</v>
      </c>
      <c r="O66" s="37">
        <f t="shared" si="3"/>
        <v>8751600</v>
      </c>
    </row>
    <row r="67" spans="1:15" ht="22.5" customHeight="1" x14ac:dyDescent="0.35">
      <c r="A67" s="38">
        <v>54</v>
      </c>
      <c r="B67" s="34" t="s">
        <v>1246</v>
      </c>
      <c r="C67" s="22"/>
      <c r="D67" s="42">
        <v>2602000911</v>
      </c>
      <c r="E67" s="24" t="s">
        <v>1247</v>
      </c>
      <c r="F67" s="25" t="s">
        <v>1248</v>
      </c>
      <c r="G67" s="22" t="s">
        <v>578</v>
      </c>
      <c r="H67" s="28" t="s">
        <v>136</v>
      </c>
      <c r="I67" s="28" t="s">
        <v>136</v>
      </c>
      <c r="J67" s="28" t="s">
        <v>160</v>
      </c>
      <c r="K67" s="146">
        <v>3.56</v>
      </c>
      <c r="L67" s="146"/>
      <c r="M67" s="146"/>
      <c r="N67" s="36">
        <v>0.3</v>
      </c>
      <c r="O67" s="37">
        <f t="shared" si="3"/>
        <v>8330400</v>
      </c>
    </row>
    <row r="68" spans="1:15" ht="22.5" customHeight="1" x14ac:dyDescent="0.35">
      <c r="A68" s="38">
        <v>55</v>
      </c>
      <c r="B68" s="34" t="s">
        <v>1249</v>
      </c>
      <c r="C68" s="22"/>
      <c r="D68" s="42">
        <v>2606001567</v>
      </c>
      <c r="E68" s="24" t="s">
        <v>1250</v>
      </c>
      <c r="F68" s="25" t="s">
        <v>1251</v>
      </c>
      <c r="G68" s="22" t="s">
        <v>118</v>
      </c>
      <c r="H68" s="28" t="s">
        <v>136</v>
      </c>
      <c r="I68" s="28" t="s">
        <v>136</v>
      </c>
      <c r="J68" s="28" t="s">
        <v>160</v>
      </c>
      <c r="K68" s="146">
        <v>3.56</v>
      </c>
      <c r="L68" s="146"/>
      <c r="M68" s="146"/>
      <c r="N68" s="36">
        <v>0.3</v>
      </c>
      <c r="O68" s="37">
        <f t="shared" si="3"/>
        <v>8330400</v>
      </c>
    </row>
    <row r="69" spans="1:15" ht="22.5" customHeight="1" x14ac:dyDescent="0.35">
      <c r="A69" s="38"/>
      <c r="B69" s="101" t="s">
        <v>1252</v>
      </c>
      <c r="C69" s="22"/>
      <c r="D69" s="42"/>
      <c r="E69" s="42"/>
      <c r="F69" s="57"/>
      <c r="G69" s="38"/>
      <c r="H69" s="28"/>
      <c r="I69" s="28"/>
      <c r="J69" s="36"/>
      <c r="K69" s="146"/>
      <c r="L69" s="146"/>
      <c r="M69" s="146"/>
      <c r="N69" s="36"/>
      <c r="O69" s="37"/>
    </row>
    <row r="70" spans="1:15" ht="22.5" customHeight="1" x14ac:dyDescent="0.35">
      <c r="A70" s="36">
        <v>56</v>
      </c>
      <c r="B70" s="34" t="s">
        <v>1253</v>
      </c>
      <c r="C70" s="28"/>
      <c r="D70" s="42">
        <v>2605003011</v>
      </c>
      <c r="E70" s="24" t="s">
        <v>1254</v>
      </c>
      <c r="F70" s="25" t="s">
        <v>1255</v>
      </c>
      <c r="G70" s="22" t="s">
        <v>1256</v>
      </c>
      <c r="H70" s="28" t="s">
        <v>145</v>
      </c>
      <c r="I70" s="28" t="s">
        <v>27</v>
      </c>
      <c r="J70" s="22" t="s">
        <v>43</v>
      </c>
      <c r="K70" s="146">
        <v>3.89</v>
      </c>
      <c r="L70" s="146"/>
      <c r="M70" s="146">
        <v>0.2</v>
      </c>
      <c r="N70" s="36">
        <v>0.3</v>
      </c>
      <c r="O70" s="37">
        <f t="shared" ref="O70:O78" si="4">(K70+L70+M70)*2340000</f>
        <v>9570600</v>
      </c>
    </row>
    <row r="71" spans="1:15" ht="22.5" customHeight="1" x14ac:dyDescent="0.35">
      <c r="A71" s="38">
        <v>57</v>
      </c>
      <c r="B71" s="34" t="s">
        <v>1257</v>
      </c>
      <c r="C71" s="22" t="s">
        <v>21</v>
      </c>
      <c r="D71" s="42">
        <v>2696021969</v>
      </c>
      <c r="E71" s="24" t="s">
        <v>1258</v>
      </c>
      <c r="F71" s="25" t="s">
        <v>1259</v>
      </c>
      <c r="G71" s="22" t="s">
        <v>1260</v>
      </c>
      <c r="H71" s="28" t="s">
        <v>136</v>
      </c>
      <c r="I71" s="28" t="s">
        <v>180</v>
      </c>
      <c r="J71" s="22" t="s">
        <v>899</v>
      </c>
      <c r="K71" s="146">
        <v>3.89</v>
      </c>
      <c r="L71" s="146"/>
      <c r="M71" s="146"/>
      <c r="N71" s="36">
        <v>0.3</v>
      </c>
      <c r="O71" s="37">
        <f t="shared" si="4"/>
        <v>9102600</v>
      </c>
    </row>
    <row r="72" spans="1:15" ht="22.5" customHeight="1" x14ac:dyDescent="0.35">
      <c r="A72" s="38">
        <v>58</v>
      </c>
      <c r="B72" s="34" t="s">
        <v>1261</v>
      </c>
      <c r="C72" s="22"/>
      <c r="D72" s="42">
        <v>2602000909</v>
      </c>
      <c r="E72" s="24" t="s">
        <v>1262</v>
      </c>
      <c r="F72" s="25" t="s">
        <v>1263</v>
      </c>
      <c r="G72" s="22" t="s">
        <v>578</v>
      </c>
      <c r="H72" s="28" t="s">
        <v>136</v>
      </c>
      <c r="I72" s="28" t="s">
        <v>136</v>
      </c>
      <c r="J72" s="28" t="s">
        <v>160</v>
      </c>
      <c r="K72" s="146">
        <v>3.56</v>
      </c>
      <c r="L72" s="146"/>
      <c r="M72" s="146"/>
      <c r="N72" s="36">
        <v>0.3</v>
      </c>
      <c r="O72" s="37">
        <f t="shared" si="4"/>
        <v>8330400</v>
      </c>
    </row>
    <row r="73" spans="1:15" ht="22.5" customHeight="1" x14ac:dyDescent="0.35">
      <c r="A73" s="36">
        <v>59</v>
      </c>
      <c r="B73" s="34" t="s">
        <v>1264</v>
      </c>
      <c r="C73" s="22"/>
      <c r="D73" s="23" t="s">
        <v>1265</v>
      </c>
      <c r="E73" s="24" t="s">
        <v>1266</v>
      </c>
      <c r="F73" s="25" t="s">
        <v>1267</v>
      </c>
      <c r="G73" s="22" t="s">
        <v>400</v>
      </c>
      <c r="H73" s="28" t="s">
        <v>129</v>
      </c>
      <c r="I73" s="28" t="s">
        <v>129</v>
      </c>
      <c r="J73" s="22" t="s">
        <v>160</v>
      </c>
      <c r="K73" s="146">
        <v>3.74</v>
      </c>
      <c r="L73" s="146"/>
      <c r="M73" s="146"/>
      <c r="N73" s="36">
        <v>0.3</v>
      </c>
      <c r="O73" s="37">
        <f t="shared" si="4"/>
        <v>8751600</v>
      </c>
    </row>
    <row r="74" spans="1:15" ht="22.5" customHeight="1" x14ac:dyDescent="0.35">
      <c r="A74" s="38">
        <v>60</v>
      </c>
      <c r="B74" s="34" t="s">
        <v>1268</v>
      </c>
      <c r="C74" s="22" t="s">
        <v>21</v>
      </c>
      <c r="D74" s="42">
        <v>2696022832</v>
      </c>
      <c r="E74" s="24" t="s">
        <v>1269</v>
      </c>
      <c r="F74" s="25" t="s">
        <v>1270</v>
      </c>
      <c r="G74" s="22" t="s">
        <v>652</v>
      </c>
      <c r="H74" s="28" t="s">
        <v>225</v>
      </c>
      <c r="I74" s="28" t="s">
        <v>225</v>
      </c>
      <c r="J74" s="22" t="s">
        <v>160</v>
      </c>
      <c r="K74" s="146">
        <v>3.56</v>
      </c>
      <c r="L74" s="146"/>
      <c r="M74" s="146"/>
      <c r="N74" s="36">
        <v>0.3</v>
      </c>
      <c r="O74" s="37">
        <f t="shared" si="4"/>
        <v>8330400</v>
      </c>
    </row>
    <row r="75" spans="1:15" ht="22.5" customHeight="1" x14ac:dyDescent="0.35">
      <c r="A75" s="38">
        <v>61</v>
      </c>
      <c r="B75" s="34" t="s">
        <v>1271</v>
      </c>
      <c r="C75" s="22"/>
      <c r="D75" s="42">
        <v>2602000925</v>
      </c>
      <c r="E75" s="24" t="s">
        <v>1272</v>
      </c>
      <c r="F75" s="25" t="s">
        <v>1273</v>
      </c>
      <c r="G75" s="22" t="s">
        <v>1157</v>
      </c>
      <c r="H75" s="28" t="s">
        <v>136</v>
      </c>
      <c r="I75" s="28" t="s">
        <v>136</v>
      </c>
      <c r="J75" s="22" t="s">
        <v>164</v>
      </c>
      <c r="K75" s="146">
        <v>4.2</v>
      </c>
      <c r="L75" s="146"/>
      <c r="M75" s="146"/>
      <c r="N75" s="36">
        <v>0.3</v>
      </c>
      <c r="O75" s="37">
        <f t="shared" si="4"/>
        <v>9828000</v>
      </c>
    </row>
    <row r="76" spans="1:15" ht="22.5" customHeight="1" x14ac:dyDescent="0.35">
      <c r="A76" s="36">
        <v>62</v>
      </c>
      <c r="B76" s="34" t="s">
        <v>1274</v>
      </c>
      <c r="C76" s="22" t="s">
        <v>21</v>
      </c>
      <c r="D76" s="45">
        <v>3415000476</v>
      </c>
      <c r="E76" s="40" t="s">
        <v>1275</v>
      </c>
      <c r="F76" s="41" t="s">
        <v>1276</v>
      </c>
      <c r="G76" s="22" t="s">
        <v>639</v>
      </c>
      <c r="H76" s="28" t="s">
        <v>136</v>
      </c>
      <c r="I76" s="28" t="s">
        <v>136</v>
      </c>
      <c r="J76" s="28" t="s">
        <v>130</v>
      </c>
      <c r="K76" s="148">
        <v>3.01</v>
      </c>
      <c r="L76" s="146"/>
      <c r="M76" s="146"/>
      <c r="N76" s="36">
        <v>0.3</v>
      </c>
      <c r="O76" s="37">
        <f t="shared" si="4"/>
        <v>7043399.9999999991</v>
      </c>
    </row>
    <row r="77" spans="1:15" ht="22.5" customHeight="1" x14ac:dyDescent="0.35">
      <c r="A77" s="38">
        <v>63</v>
      </c>
      <c r="B77" s="34" t="s">
        <v>1277</v>
      </c>
      <c r="C77" s="28"/>
      <c r="D77" s="42">
        <v>2605003016</v>
      </c>
      <c r="E77" s="24" t="s">
        <v>1278</v>
      </c>
      <c r="F77" s="25" t="s">
        <v>1279</v>
      </c>
      <c r="G77" s="22" t="s">
        <v>396</v>
      </c>
      <c r="H77" s="28" t="s">
        <v>136</v>
      </c>
      <c r="I77" s="28" t="s">
        <v>27</v>
      </c>
      <c r="J77" s="28" t="s">
        <v>96</v>
      </c>
      <c r="K77" s="148">
        <v>3.58</v>
      </c>
      <c r="L77" s="148"/>
      <c r="M77" s="148"/>
      <c r="N77" s="36">
        <v>0.3</v>
      </c>
      <c r="O77" s="37">
        <f t="shared" si="4"/>
        <v>8377200</v>
      </c>
    </row>
    <row r="78" spans="1:15" ht="22.5" customHeight="1" x14ac:dyDescent="0.35">
      <c r="A78" s="38">
        <v>64</v>
      </c>
      <c r="B78" s="34" t="s">
        <v>1280</v>
      </c>
      <c r="C78" s="22" t="s">
        <v>21</v>
      </c>
      <c r="D78" s="23" t="s">
        <v>1281</v>
      </c>
      <c r="E78" s="24" t="s">
        <v>1282</v>
      </c>
      <c r="F78" s="25" t="s">
        <v>1283</v>
      </c>
      <c r="G78" s="22" t="s">
        <v>1284</v>
      </c>
      <c r="H78" s="28" t="s">
        <v>136</v>
      </c>
      <c r="I78" s="28" t="s">
        <v>49</v>
      </c>
      <c r="J78" s="28" t="s">
        <v>43</v>
      </c>
      <c r="K78" s="146">
        <v>3.89</v>
      </c>
      <c r="L78" s="146"/>
      <c r="M78" s="146"/>
      <c r="N78" s="36">
        <v>0.3</v>
      </c>
      <c r="O78" s="37">
        <f t="shared" si="4"/>
        <v>9102600</v>
      </c>
    </row>
    <row r="79" spans="1:15" ht="22.5" customHeight="1" x14ac:dyDescent="0.35">
      <c r="A79" s="39"/>
      <c r="B79" s="101" t="s">
        <v>1285</v>
      </c>
      <c r="C79" s="35"/>
      <c r="D79" s="49"/>
      <c r="E79" s="49"/>
      <c r="F79" s="50"/>
      <c r="G79" s="39"/>
      <c r="H79" s="55"/>
      <c r="I79" s="55"/>
      <c r="J79" s="52"/>
      <c r="K79" s="147"/>
      <c r="L79" s="147"/>
      <c r="M79" s="147"/>
      <c r="N79" s="52"/>
      <c r="O79" s="53"/>
    </row>
    <row r="80" spans="1:15" ht="22.5" customHeight="1" x14ac:dyDescent="0.35">
      <c r="A80" s="36">
        <v>65</v>
      </c>
      <c r="B80" s="34" t="s">
        <v>1286</v>
      </c>
      <c r="C80" s="22" t="s">
        <v>21</v>
      </c>
      <c r="D80" s="23" t="s">
        <v>1287</v>
      </c>
      <c r="E80" s="40" t="s">
        <v>1288</v>
      </c>
      <c r="F80" s="41" t="s">
        <v>1289</v>
      </c>
      <c r="G80" s="22" t="s">
        <v>224</v>
      </c>
      <c r="H80" s="28" t="s">
        <v>145</v>
      </c>
      <c r="I80" s="28" t="s">
        <v>27</v>
      </c>
      <c r="J80" s="22" t="s">
        <v>37</v>
      </c>
      <c r="K80" s="146">
        <v>3.27</v>
      </c>
      <c r="L80" s="146"/>
      <c r="M80" s="146" t="s">
        <v>79</v>
      </c>
      <c r="N80" s="36">
        <v>0.3</v>
      </c>
      <c r="O80" s="37" t="e">
        <f t="shared" ref="O80:O86" si="5">(K80+L80+M80)*2340000</f>
        <v>#VALUE!</v>
      </c>
    </row>
    <row r="81" spans="1:15" ht="22.5" customHeight="1" x14ac:dyDescent="0.35">
      <c r="A81" s="38">
        <v>66</v>
      </c>
      <c r="B81" s="34" t="s">
        <v>990</v>
      </c>
      <c r="C81" s="22"/>
      <c r="D81" s="42">
        <v>2696022823</v>
      </c>
      <c r="E81" s="24" t="s">
        <v>1290</v>
      </c>
      <c r="F81" s="25" t="s">
        <v>1291</v>
      </c>
      <c r="G81" s="22" t="s">
        <v>392</v>
      </c>
      <c r="H81" s="28" t="s">
        <v>136</v>
      </c>
      <c r="I81" s="28" t="s">
        <v>136</v>
      </c>
      <c r="J81" s="22" t="s">
        <v>164</v>
      </c>
      <c r="K81" s="146">
        <v>4.2</v>
      </c>
      <c r="L81" s="146"/>
      <c r="M81" s="146"/>
      <c r="N81" s="36">
        <v>0.3</v>
      </c>
      <c r="O81" s="37">
        <f t="shared" si="5"/>
        <v>9828000</v>
      </c>
    </row>
    <row r="82" spans="1:15" ht="22.5" customHeight="1" x14ac:dyDescent="0.35">
      <c r="A82" s="38">
        <v>67</v>
      </c>
      <c r="B82" s="34" t="s">
        <v>1292</v>
      </c>
      <c r="C82" s="22"/>
      <c r="D82" s="42">
        <v>2602000926</v>
      </c>
      <c r="E82" s="24" t="s">
        <v>1293</v>
      </c>
      <c r="F82" s="25" t="s">
        <v>1294</v>
      </c>
      <c r="G82" s="22" t="s">
        <v>25</v>
      </c>
      <c r="H82" s="28" t="s">
        <v>225</v>
      </c>
      <c r="I82" s="28" t="s">
        <v>225</v>
      </c>
      <c r="J82" s="22" t="s">
        <v>164</v>
      </c>
      <c r="K82" s="146">
        <v>4.2</v>
      </c>
      <c r="L82" s="146"/>
      <c r="M82" s="146"/>
      <c r="N82" s="36">
        <v>0.3</v>
      </c>
      <c r="O82" s="37">
        <f t="shared" si="5"/>
        <v>9828000</v>
      </c>
    </row>
    <row r="83" spans="1:15" ht="22.5" customHeight="1" x14ac:dyDescent="0.35">
      <c r="A83" s="36">
        <v>68</v>
      </c>
      <c r="B83" s="34" t="s">
        <v>1295</v>
      </c>
      <c r="C83" s="22" t="s">
        <v>21</v>
      </c>
      <c r="D83" s="23" t="s">
        <v>1296</v>
      </c>
      <c r="E83" s="24" t="s">
        <v>1297</v>
      </c>
      <c r="F83" s="25" t="s">
        <v>1298</v>
      </c>
      <c r="G83" s="22" t="s">
        <v>1299</v>
      </c>
      <c r="H83" s="28" t="s">
        <v>136</v>
      </c>
      <c r="I83" s="28" t="s">
        <v>136</v>
      </c>
      <c r="J83" s="28" t="s">
        <v>160</v>
      </c>
      <c r="K83" s="146">
        <v>3.56</v>
      </c>
      <c r="L83" s="146"/>
      <c r="M83" s="146"/>
      <c r="N83" s="36">
        <v>0.3</v>
      </c>
      <c r="O83" s="37">
        <f t="shared" si="5"/>
        <v>8330400</v>
      </c>
    </row>
    <row r="84" spans="1:15" ht="22.5" customHeight="1" x14ac:dyDescent="0.35">
      <c r="A84" s="38">
        <v>69</v>
      </c>
      <c r="B84" s="34" t="s">
        <v>1300</v>
      </c>
      <c r="C84" s="22" t="s">
        <v>21</v>
      </c>
      <c r="D84" s="23" t="s">
        <v>1301</v>
      </c>
      <c r="E84" s="24" t="s">
        <v>1302</v>
      </c>
      <c r="F84" s="25" t="s">
        <v>1303</v>
      </c>
      <c r="G84" s="22" t="s">
        <v>1119</v>
      </c>
      <c r="H84" s="28" t="s">
        <v>136</v>
      </c>
      <c r="I84" s="28" t="s">
        <v>136</v>
      </c>
      <c r="J84" s="28" t="s">
        <v>160</v>
      </c>
      <c r="K84" s="146">
        <v>3.56</v>
      </c>
      <c r="L84" s="146"/>
      <c r="M84" s="146"/>
      <c r="N84" s="36">
        <v>0.3</v>
      </c>
      <c r="O84" s="37">
        <f t="shared" si="5"/>
        <v>8330400</v>
      </c>
    </row>
    <row r="85" spans="1:15" ht="22.5" customHeight="1" x14ac:dyDescent="0.35">
      <c r="A85" s="38">
        <v>70</v>
      </c>
      <c r="B85" s="34" t="s">
        <v>1304</v>
      </c>
      <c r="C85" s="22" t="s">
        <v>21</v>
      </c>
      <c r="D85" s="23" t="s">
        <v>1305</v>
      </c>
      <c r="E85" s="24">
        <v>35382</v>
      </c>
      <c r="F85" s="25" t="s">
        <v>1306</v>
      </c>
      <c r="G85" s="22" t="s">
        <v>1307</v>
      </c>
      <c r="H85" s="28" t="s">
        <v>136</v>
      </c>
      <c r="I85" s="28" t="s">
        <v>136</v>
      </c>
      <c r="J85" s="22" t="s">
        <v>190</v>
      </c>
      <c r="K85" s="146">
        <v>1.83</v>
      </c>
      <c r="L85" s="146"/>
      <c r="M85" s="146"/>
      <c r="N85" s="36">
        <v>0.3</v>
      </c>
      <c r="O85" s="37">
        <f t="shared" si="5"/>
        <v>4282200</v>
      </c>
    </row>
    <row r="86" spans="1:15" ht="22.5" customHeight="1" x14ac:dyDescent="0.35">
      <c r="A86" s="36">
        <v>71</v>
      </c>
      <c r="B86" s="34" t="s">
        <v>1308</v>
      </c>
      <c r="C86" s="22"/>
      <c r="D86" s="42">
        <v>2604003969</v>
      </c>
      <c r="E86" s="24" t="s">
        <v>1309</v>
      </c>
      <c r="F86" s="25" t="s">
        <v>1310</v>
      </c>
      <c r="G86" s="22" t="s">
        <v>234</v>
      </c>
      <c r="H86" s="28" t="s">
        <v>136</v>
      </c>
      <c r="I86" s="28" t="s">
        <v>136</v>
      </c>
      <c r="J86" s="28" t="s">
        <v>160</v>
      </c>
      <c r="K86" s="146">
        <v>3.56</v>
      </c>
      <c r="L86" s="146"/>
      <c r="M86" s="146"/>
      <c r="N86" s="36">
        <v>0.3</v>
      </c>
      <c r="O86" s="37">
        <f t="shared" si="5"/>
        <v>8330400</v>
      </c>
    </row>
    <row r="87" spans="1:15" ht="22.5" customHeight="1" x14ac:dyDescent="0.35">
      <c r="A87" s="52"/>
      <c r="B87" s="101" t="s">
        <v>1311</v>
      </c>
      <c r="C87" s="35"/>
      <c r="D87" s="49"/>
      <c r="E87" s="49"/>
      <c r="F87" s="50"/>
      <c r="G87" s="39"/>
      <c r="H87" s="55"/>
      <c r="I87" s="55"/>
      <c r="J87" s="52"/>
      <c r="K87" s="147"/>
      <c r="L87" s="147"/>
      <c r="M87" s="147"/>
      <c r="N87" s="52"/>
      <c r="O87" s="53"/>
    </row>
    <row r="88" spans="1:15" ht="22.5" customHeight="1" x14ac:dyDescent="0.35">
      <c r="A88" s="38">
        <v>72</v>
      </c>
      <c r="B88" s="34" t="s">
        <v>1312</v>
      </c>
      <c r="C88" s="22"/>
      <c r="D88" s="42">
        <v>2696022817</v>
      </c>
      <c r="E88" s="24" t="s">
        <v>1313</v>
      </c>
      <c r="F88" s="25" t="s">
        <v>1314</v>
      </c>
      <c r="G88" s="22" t="s">
        <v>400</v>
      </c>
      <c r="H88" s="28" t="s">
        <v>145</v>
      </c>
      <c r="I88" s="28" t="s">
        <v>49</v>
      </c>
      <c r="J88" s="22" t="s">
        <v>50</v>
      </c>
      <c r="K88" s="146">
        <v>4.51</v>
      </c>
      <c r="L88" s="146"/>
      <c r="M88" s="146">
        <v>0.2</v>
      </c>
      <c r="N88" s="36">
        <v>0.3</v>
      </c>
      <c r="O88" s="37">
        <f t="shared" ref="O88:O102" si="6">(K88+L88+M88)*2340000</f>
        <v>11021400</v>
      </c>
    </row>
    <row r="89" spans="1:15" ht="22.5" customHeight="1" x14ac:dyDescent="0.35">
      <c r="A89" s="38">
        <v>73</v>
      </c>
      <c r="B89" s="34" t="s">
        <v>1315</v>
      </c>
      <c r="C89" s="22" t="s">
        <v>21</v>
      </c>
      <c r="D89" s="42">
        <v>2604002074</v>
      </c>
      <c r="E89" s="24" t="s">
        <v>1316</v>
      </c>
      <c r="F89" s="25" t="s">
        <v>1317</v>
      </c>
      <c r="G89" s="22" t="s">
        <v>1050</v>
      </c>
      <c r="H89" s="28" t="s">
        <v>136</v>
      </c>
      <c r="I89" s="28" t="s">
        <v>136</v>
      </c>
      <c r="J89" s="28" t="s">
        <v>160</v>
      </c>
      <c r="K89" s="146">
        <v>3.56</v>
      </c>
      <c r="L89" s="146"/>
      <c r="M89" s="146"/>
      <c r="N89" s="36">
        <v>0.3</v>
      </c>
      <c r="O89" s="37">
        <f t="shared" si="6"/>
        <v>8330400</v>
      </c>
    </row>
    <row r="90" spans="1:15" ht="22.5" customHeight="1" x14ac:dyDescent="0.35">
      <c r="A90" s="36">
        <v>74</v>
      </c>
      <c r="B90" s="34" t="s">
        <v>1318</v>
      </c>
      <c r="C90" s="28" t="s">
        <v>21</v>
      </c>
      <c r="D90" s="42">
        <v>2604004220</v>
      </c>
      <c r="E90" s="24" t="s">
        <v>1319</v>
      </c>
      <c r="F90" s="25" t="s">
        <v>1320</v>
      </c>
      <c r="G90" s="22" t="s">
        <v>102</v>
      </c>
      <c r="H90" s="28" t="s">
        <v>225</v>
      </c>
      <c r="I90" s="28" t="s">
        <v>49</v>
      </c>
      <c r="J90" s="28" t="s">
        <v>43</v>
      </c>
      <c r="K90" s="148">
        <v>3.89</v>
      </c>
      <c r="L90" s="148"/>
      <c r="M90" s="148"/>
      <c r="N90" s="36">
        <v>0.3</v>
      </c>
      <c r="O90" s="37">
        <f t="shared" si="6"/>
        <v>9102600</v>
      </c>
    </row>
    <row r="91" spans="1:15" ht="22.5" customHeight="1" x14ac:dyDescent="0.35">
      <c r="A91" s="38">
        <v>75</v>
      </c>
      <c r="B91" s="34" t="s">
        <v>1321</v>
      </c>
      <c r="C91" s="22"/>
      <c r="D91" s="42">
        <v>2696022790</v>
      </c>
      <c r="E91" s="24" t="s">
        <v>1322</v>
      </c>
      <c r="F91" s="25" t="s">
        <v>1323</v>
      </c>
      <c r="G91" s="22" t="s">
        <v>400</v>
      </c>
      <c r="H91" s="28" t="s">
        <v>225</v>
      </c>
      <c r="I91" s="28" t="s">
        <v>225</v>
      </c>
      <c r="J91" s="28" t="s">
        <v>160</v>
      </c>
      <c r="K91" s="148">
        <v>3.56</v>
      </c>
      <c r="L91" s="146"/>
      <c r="M91" s="146"/>
      <c r="N91" s="36">
        <v>0.3</v>
      </c>
      <c r="O91" s="37">
        <f t="shared" si="6"/>
        <v>8330400</v>
      </c>
    </row>
    <row r="92" spans="1:15" ht="22.5" customHeight="1" x14ac:dyDescent="0.35">
      <c r="A92" s="38">
        <v>76</v>
      </c>
      <c r="B92" s="34" t="s">
        <v>1324</v>
      </c>
      <c r="C92" s="22" t="s">
        <v>21</v>
      </c>
      <c r="D92" s="42">
        <v>2696022799</v>
      </c>
      <c r="E92" s="24" t="s">
        <v>1325</v>
      </c>
      <c r="F92" s="25" t="s">
        <v>1326</v>
      </c>
      <c r="G92" s="22" t="s">
        <v>400</v>
      </c>
      <c r="H92" s="28" t="s">
        <v>225</v>
      </c>
      <c r="I92" s="28" t="s">
        <v>225</v>
      </c>
      <c r="J92" s="28" t="s">
        <v>160</v>
      </c>
      <c r="K92" s="148">
        <v>3.56</v>
      </c>
      <c r="L92" s="146"/>
      <c r="M92" s="146"/>
      <c r="N92" s="36">
        <v>0.3</v>
      </c>
      <c r="O92" s="37">
        <f t="shared" si="6"/>
        <v>8330400</v>
      </c>
    </row>
    <row r="93" spans="1:15" ht="22.5" customHeight="1" x14ac:dyDescent="0.35">
      <c r="A93" s="36">
        <v>77</v>
      </c>
      <c r="B93" s="34" t="s">
        <v>1327</v>
      </c>
      <c r="C93" s="22" t="s">
        <v>21</v>
      </c>
      <c r="D93" s="42">
        <v>2696022784</v>
      </c>
      <c r="E93" s="24" t="s">
        <v>1328</v>
      </c>
      <c r="F93" s="25" t="s">
        <v>1329</v>
      </c>
      <c r="G93" s="22" t="s">
        <v>400</v>
      </c>
      <c r="H93" s="28" t="s">
        <v>225</v>
      </c>
      <c r="I93" s="28" t="s">
        <v>225</v>
      </c>
      <c r="J93" s="28" t="s">
        <v>160</v>
      </c>
      <c r="K93" s="148">
        <v>3.56</v>
      </c>
      <c r="L93" s="146"/>
      <c r="M93" s="146"/>
      <c r="N93" s="36">
        <v>0.3</v>
      </c>
      <c r="O93" s="37">
        <f t="shared" si="6"/>
        <v>8330400</v>
      </c>
    </row>
    <row r="94" spans="1:15" ht="22.5" customHeight="1" x14ac:dyDescent="0.35">
      <c r="A94" s="38">
        <v>78</v>
      </c>
      <c r="B94" s="34" t="s">
        <v>1330</v>
      </c>
      <c r="C94" s="22"/>
      <c r="D94" s="42">
        <v>2604002075</v>
      </c>
      <c r="E94" s="24" t="s">
        <v>1331</v>
      </c>
      <c r="F94" s="25" t="s">
        <v>1332</v>
      </c>
      <c r="G94" s="22" t="s">
        <v>1119</v>
      </c>
      <c r="H94" s="28" t="s">
        <v>136</v>
      </c>
      <c r="I94" s="28" t="s">
        <v>136</v>
      </c>
      <c r="J94" s="28" t="s">
        <v>160</v>
      </c>
      <c r="K94" s="146">
        <v>3.56</v>
      </c>
      <c r="L94" s="146"/>
      <c r="M94" s="146"/>
      <c r="N94" s="36">
        <v>0.3</v>
      </c>
      <c r="O94" s="37">
        <f t="shared" si="6"/>
        <v>8330400</v>
      </c>
    </row>
    <row r="95" spans="1:15" ht="22.5" customHeight="1" x14ac:dyDescent="0.35">
      <c r="A95" s="38">
        <v>79</v>
      </c>
      <c r="B95" s="34" t="s">
        <v>1333</v>
      </c>
      <c r="C95" s="22"/>
      <c r="D95" s="42">
        <v>2602000923</v>
      </c>
      <c r="E95" s="24" t="s">
        <v>1334</v>
      </c>
      <c r="F95" s="25" t="s">
        <v>1335</v>
      </c>
      <c r="G95" s="22" t="s">
        <v>1157</v>
      </c>
      <c r="H95" s="28" t="s">
        <v>136</v>
      </c>
      <c r="I95" s="28" t="s">
        <v>136</v>
      </c>
      <c r="J95" s="22" t="s">
        <v>164</v>
      </c>
      <c r="K95" s="146">
        <v>4.2</v>
      </c>
      <c r="L95" s="146"/>
      <c r="M95" s="146"/>
      <c r="N95" s="36">
        <v>0.3</v>
      </c>
      <c r="O95" s="37">
        <f t="shared" si="6"/>
        <v>9828000</v>
      </c>
    </row>
    <row r="96" spans="1:15" ht="22.5" customHeight="1" x14ac:dyDescent="0.35">
      <c r="A96" s="36">
        <v>80</v>
      </c>
      <c r="B96" s="34" t="s">
        <v>1336</v>
      </c>
      <c r="C96" s="22"/>
      <c r="D96" s="23" t="s">
        <v>1337</v>
      </c>
      <c r="E96" s="24" t="s">
        <v>1338</v>
      </c>
      <c r="F96" s="25" t="s">
        <v>1339</v>
      </c>
      <c r="G96" s="22" t="s">
        <v>118</v>
      </c>
      <c r="H96" s="28" t="s">
        <v>136</v>
      </c>
      <c r="I96" s="28" t="s">
        <v>136</v>
      </c>
      <c r="J96" s="22" t="s">
        <v>164</v>
      </c>
      <c r="K96" s="146">
        <v>4.2</v>
      </c>
      <c r="L96" s="146"/>
      <c r="M96" s="146"/>
      <c r="N96" s="36">
        <v>0.3</v>
      </c>
      <c r="O96" s="37">
        <f t="shared" si="6"/>
        <v>9828000</v>
      </c>
    </row>
    <row r="97" spans="1:15" ht="22.5" customHeight="1" x14ac:dyDescent="0.35">
      <c r="A97" s="38">
        <v>81</v>
      </c>
      <c r="B97" s="34" t="s">
        <v>1340</v>
      </c>
      <c r="C97" s="22"/>
      <c r="D97" s="42">
        <v>2697039756</v>
      </c>
      <c r="E97" s="24" t="s">
        <v>1341</v>
      </c>
      <c r="F97" s="25" t="s">
        <v>1342</v>
      </c>
      <c r="G97" s="22" t="s">
        <v>842</v>
      </c>
      <c r="H97" s="28" t="s">
        <v>136</v>
      </c>
      <c r="I97" s="28" t="s">
        <v>136</v>
      </c>
      <c r="J97" s="28" t="s">
        <v>160</v>
      </c>
      <c r="K97" s="146">
        <v>3.56</v>
      </c>
      <c r="L97" s="146"/>
      <c r="M97" s="146"/>
      <c r="N97" s="36">
        <v>0.3</v>
      </c>
      <c r="O97" s="37">
        <f t="shared" si="6"/>
        <v>8330400</v>
      </c>
    </row>
    <row r="98" spans="1:15" ht="22.5" customHeight="1" x14ac:dyDescent="0.35">
      <c r="A98" s="38">
        <v>82</v>
      </c>
      <c r="B98" s="34" t="s">
        <v>1343</v>
      </c>
      <c r="C98" s="22"/>
      <c r="D98" s="42">
        <v>2603001325</v>
      </c>
      <c r="E98" s="24" t="s">
        <v>1344</v>
      </c>
      <c r="F98" s="25" t="s">
        <v>1345</v>
      </c>
      <c r="G98" s="22" t="s">
        <v>1346</v>
      </c>
      <c r="H98" s="28" t="s">
        <v>225</v>
      </c>
      <c r="I98" s="28" t="s">
        <v>225</v>
      </c>
      <c r="J98" s="22" t="s">
        <v>130</v>
      </c>
      <c r="K98" s="146">
        <v>3.74</v>
      </c>
      <c r="L98" s="146"/>
      <c r="M98" s="146"/>
      <c r="N98" s="36">
        <v>0.3</v>
      </c>
      <c r="O98" s="37">
        <f t="shared" si="6"/>
        <v>8751600</v>
      </c>
    </row>
    <row r="99" spans="1:15" ht="22.5" customHeight="1" x14ac:dyDescent="0.35">
      <c r="A99" s="36">
        <v>83</v>
      </c>
      <c r="B99" s="34" t="s">
        <v>1347</v>
      </c>
      <c r="C99" s="22"/>
      <c r="D99" s="42">
        <v>2602000915</v>
      </c>
      <c r="E99" s="24" t="s">
        <v>1348</v>
      </c>
      <c r="F99" s="25" t="s">
        <v>1349</v>
      </c>
      <c r="G99" s="22" t="s">
        <v>684</v>
      </c>
      <c r="H99" s="28" t="s">
        <v>136</v>
      </c>
      <c r="I99" s="28" t="s">
        <v>136</v>
      </c>
      <c r="J99" s="22" t="s">
        <v>164</v>
      </c>
      <c r="K99" s="146">
        <v>4.2</v>
      </c>
      <c r="L99" s="146"/>
      <c r="M99" s="146"/>
      <c r="N99" s="36">
        <v>0.3</v>
      </c>
      <c r="O99" s="37">
        <f t="shared" si="6"/>
        <v>9828000</v>
      </c>
    </row>
    <row r="100" spans="1:15" ht="22.5" customHeight="1" x14ac:dyDescent="0.35">
      <c r="A100" s="38">
        <v>84</v>
      </c>
      <c r="B100" s="34" t="s">
        <v>1350</v>
      </c>
      <c r="C100" s="28"/>
      <c r="D100" s="23" t="s">
        <v>1351</v>
      </c>
      <c r="E100" s="24" t="s">
        <v>1352</v>
      </c>
      <c r="F100" s="25" t="s">
        <v>1353</v>
      </c>
      <c r="G100" s="22" t="s">
        <v>595</v>
      </c>
      <c r="H100" s="28" t="s">
        <v>136</v>
      </c>
      <c r="I100" s="28" t="s">
        <v>136</v>
      </c>
      <c r="J100" s="28" t="s">
        <v>160</v>
      </c>
      <c r="K100" s="146">
        <v>3.56</v>
      </c>
      <c r="L100" s="148"/>
      <c r="M100" s="148"/>
      <c r="N100" s="36">
        <v>0.3</v>
      </c>
      <c r="O100" s="37">
        <f t="shared" si="6"/>
        <v>8330400</v>
      </c>
    </row>
    <row r="101" spans="1:15" ht="22.5" customHeight="1" x14ac:dyDescent="0.35">
      <c r="A101" s="38">
        <v>85</v>
      </c>
      <c r="B101" s="34" t="s">
        <v>1354</v>
      </c>
      <c r="C101" s="22"/>
      <c r="D101" s="42">
        <v>2696022820</v>
      </c>
      <c r="E101" s="24" t="s">
        <v>1355</v>
      </c>
      <c r="F101" s="25" t="s">
        <v>1356</v>
      </c>
      <c r="G101" s="22" t="s">
        <v>400</v>
      </c>
      <c r="H101" s="28" t="s">
        <v>225</v>
      </c>
      <c r="I101" s="28" t="s">
        <v>225</v>
      </c>
      <c r="J101" s="22" t="s">
        <v>160</v>
      </c>
      <c r="K101" s="146">
        <v>3.56</v>
      </c>
      <c r="L101" s="146"/>
      <c r="M101" s="146"/>
      <c r="N101" s="36">
        <v>0.3</v>
      </c>
      <c r="O101" s="37">
        <f t="shared" si="6"/>
        <v>8330400</v>
      </c>
    </row>
    <row r="102" spans="1:15" ht="22.5" customHeight="1" x14ac:dyDescent="0.35">
      <c r="A102" s="36">
        <v>86</v>
      </c>
      <c r="B102" s="34" t="s">
        <v>1357</v>
      </c>
      <c r="C102" s="22" t="s">
        <v>21</v>
      </c>
      <c r="D102" s="54" t="s">
        <v>1358</v>
      </c>
      <c r="E102" s="40" t="s">
        <v>1359</v>
      </c>
      <c r="F102" s="41" t="s">
        <v>1360</v>
      </c>
      <c r="G102" s="22" t="s">
        <v>829</v>
      </c>
      <c r="H102" s="28" t="s">
        <v>136</v>
      </c>
      <c r="I102" s="28" t="s">
        <v>136</v>
      </c>
      <c r="J102" s="28" t="s">
        <v>130</v>
      </c>
      <c r="K102" s="148">
        <v>3.01</v>
      </c>
      <c r="L102" s="146"/>
      <c r="M102" s="146"/>
      <c r="N102" s="36">
        <v>0.3</v>
      </c>
      <c r="O102" s="37">
        <f t="shared" si="6"/>
        <v>7043399.9999999991</v>
      </c>
    </row>
    <row r="103" spans="1:15" ht="22.5" customHeight="1" x14ac:dyDescent="0.35">
      <c r="A103" s="52"/>
      <c r="B103" s="101" t="s">
        <v>1361</v>
      </c>
      <c r="C103" s="35"/>
      <c r="D103" s="65"/>
      <c r="E103" s="65"/>
      <c r="F103" s="79"/>
      <c r="G103" s="39"/>
      <c r="H103" s="52"/>
      <c r="I103" s="52"/>
      <c r="J103" s="52"/>
      <c r="K103" s="151"/>
      <c r="L103" s="147"/>
      <c r="M103" s="147"/>
      <c r="N103" s="52"/>
      <c r="O103" s="53"/>
    </row>
    <row r="104" spans="1:15" ht="22.5" customHeight="1" x14ac:dyDescent="0.35">
      <c r="A104" s="38">
        <v>87</v>
      </c>
      <c r="B104" s="34" t="s">
        <v>1362</v>
      </c>
      <c r="C104" s="22" t="s">
        <v>21</v>
      </c>
      <c r="D104" s="42">
        <v>2606001564</v>
      </c>
      <c r="E104" s="24" t="s">
        <v>1363</v>
      </c>
      <c r="F104" s="25" t="s">
        <v>1364</v>
      </c>
      <c r="G104" s="22" t="s">
        <v>118</v>
      </c>
      <c r="H104" s="28" t="s">
        <v>145</v>
      </c>
      <c r="I104" s="28" t="s">
        <v>27</v>
      </c>
      <c r="J104" s="22" t="s">
        <v>96</v>
      </c>
      <c r="K104" s="146">
        <v>3.58</v>
      </c>
      <c r="L104" s="146"/>
      <c r="M104" s="146">
        <v>0.2</v>
      </c>
      <c r="N104" s="36">
        <v>0.3</v>
      </c>
      <c r="O104" s="37">
        <f t="shared" ref="O104:O116" si="7">(K104+L104+M104)*2340000</f>
        <v>8845200</v>
      </c>
    </row>
    <row r="105" spans="1:15" ht="22.5" customHeight="1" x14ac:dyDescent="0.35">
      <c r="A105" s="38">
        <v>88</v>
      </c>
      <c r="B105" s="34" t="s">
        <v>1365</v>
      </c>
      <c r="C105" s="22" t="s">
        <v>21</v>
      </c>
      <c r="D105" s="42">
        <v>2696022861</v>
      </c>
      <c r="E105" s="24" t="s">
        <v>1366</v>
      </c>
      <c r="F105" s="25" t="s">
        <v>1367</v>
      </c>
      <c r="G105" s="22" t="s">
        <v>1368</v>
      </c>
      <c r="H105" s="28" t="s">
        <v>136</v>
      </c>
      <c r="I105" s="28" t="s">
        <v>136</v>
      </c>
      <c r="J105" s="22" t="s">
        <v>164</v>
      </c>
      <c r="K105" s="146">
        <v>4.2</v>
      </c>
      <c r="L105" s="146"/>
      <c r="M105" s="146"/>
      <c r="N105" s="36">
        <v>0.3</v>
      </c>
      <c r="O105" s="37">
        <f t="shared" si="7"/>
        <v>9828000</v>
      </c>
    </row>
    <row r="106" spans="1:15" ht="22.5" customHeight="1" x14ac:dyDescent="0.35">
      <c r="A106" s="36">
        <v>89</v>
      </c>
      <c r="B106" s="34" t="s">
        <v>1369</v>
      </c>
      <c r="C106" s="22"/>
      <c r="D106" s="42">
        <v>2602000913</v>
      </c>
      <c r="E106" s="24" t="s">
        <v>1228</v>
      </c>
      <c r="F106" s="25" t="s">
        <v>1370</v>
      </c>
      <c r="G106" s="22" t="s">
        <v>578</v>
      </c>
      <c r="H106" s="28" t="s">
        <v>136</v>
      </c>
      <c r="I106" s="28" t="s">
        <v>136</v>
      </c>
      <c r="J106" s="28" t="s">
        <v>160</v>
      </c>
      <c r="K106" s="146">
        <v>3.56</v>
      </c>
      <c r="L106" s="146"/>
      <c r="M106" s="146"/>
      <c r="N106" s="36">
        <v>0.3</v>
      </c>
      <c r="O106" s="37">
        <f t="shared" si="7"/>
        <v>8330400</v>
      </c>
    </row>
    <row r="107" spans="1:15" ht="22.5" customHeight="1" x14ac:dyDescent="0.35">
      <c r="A107" s="38">
        <v>90</v>
      </c>
      <c r="B107" s="34" t="s">
        <v>1371</v>
      </c>
      <c r="C107" s="22" t="s">
        <v>21</v>
      </c>
      <c r="D107" s="42">
        <v>2602000920</v>
      </c>
      <c r="E107" s="24" t="s">
        <v>1372</v>
      </c>
      <c r="F107" s="25" t="s">
        <v>1373</v>
      </c>
      <c r="G107" s="22" t="s">
        <v>881</v>
      </c>
      <c r="H107" s="28" t="s">
        <v>136</v>
      </c>
      <c r="I107" s="28" t="s">
        <v>136</v>
      </c>
      <c r="J107" s="22" t="s">
        <v>164</v>
      </c>
      <c r="K107" s="146">
        <v>4.2</v>
      </c>
      <c r="L107" s="146"/>
      <c r="M107" s="146"/>
      <c r="N107" s="36">
        <v>0.3</v>
      </c>
      <c r="O107" s="37">
        <f t="shared" si="7"/>
        <v>9828000</v>
      </c>
    </row>
    <row r="108" spans="1:15" ht="22.5" customHeight="1" x14ac:dyDescent="0.35">
      <c r="A108" s="38">
        <v>91</v>
      </c>
      <c r="B108" s="34" t="s">
        <v>1374</v>
      </c>
      <c r="C108" s="22" t="s">
        <v>21</v>
      </c>
      <c r="D108" s="23" t="s">
        <v>1375</v>
      </c>
      <c r="E108" s="24" t="s">
        <v>1376</v>
      </c>
      <c r="F108" s="25" t="s">
        <v>1377</v>
      </c>
      <c r="G108" s="22" t="s">
        <v>881</v>
      </c>
      <c r="H108" s="28" t="s">
        <v>136</v>
      </c>
      <c r="I108" s="28" t="s">
        <v>136</v>
      </c>
      <c r="J108" s="28" t="s">
        <v>160</v>
      </c>
      <c r="K108" s="146">
        <v>3.56</v>
      </c>
      <c r="L108" s="146"/>
      <c r="M108" s="146"/>
      <c r="N108" s="36">
        <v>0.3</v>
      </c>
      <c r="O108" s="37">
        <f t="shared" si="7"/>
        <v>8330400</v>
      </c>
    </row>
    <row r="109" spans="1:15" ht="22.5" customHeight="1" x14ac:dyDescent="0.35">
      <c r="A109" s="36">
        <v>92</v>
      </c>
      <c r="B109" s="34" t="s">
        <v>1378</v>
      </c>
      <c r="C109" s="22" t="s">
        <v>21</v>
      </c>
      <c r="D109" s="42">
        <v>2603001322</v>
      </c>
      <c r="E109" s="24" t="s">
        <v>704</v>
      </c>
      <c r="F109" s="25" t="s">
        <v>1379</v>
      </c>
      <c r="G109" s="22" t="s">
        <v>1119</v>
      </c>
      <c r="H109" s="28" t="s">
        <v>136</v>
      </c>
      <c r="I109" s="28" t="s">
        <v>136</v>
      </c>
      <c r="J109" s="22" t="s">
        <v>164</v>
      </c>
      <c r="K109" s="146">
        <v>4.2</v>
      </c>
      <c r="L109" s="146"/>
      <c r="M109" s="146"/>
      <c r="N109" s="36">
        <v>0.3</v>
      </c>
      <c r="O109" s="37">
        <f t="shared" si="7"/>
        <v>9828000</v>
      </c>
    </row>
    <row r="110" spans="1:15" ht="22.5" customHeight="1" x14ac:dyDescent="0.35">
      <c r="A110" s="38">
        <v>93</v>
      </c>
      <c r="B110" s="34" t="s">
        <v>1380</v>
      </c>
      <c r="C110" s="22"/>
      <c r="D110" s="42">
        <v>2603001326</v>
      </c>
      <c r="E110" s="24" t="s">
        <v>1381</v>
      </c>
      <c r="F110" s="25" t="s">
        <v>1382</v>
      </c>
      <c r="G110" s="22" t="s">
        <v>1119</v>
      </c>
      <c r="H110" s="28" t="s">
        <v>136</v>
      </c>
      <c r="I110" s="28" t="s">
        <v>136</v>
      </c>
      <c r="J110" s="28" t="s">
        <v>160</v>
      </c>
      <c r="K110" s="146">
        <v>3.56</v>
      </c>
      <c r="L110" s="146"/>
      <c r="M110" s="146"/>
      <c r="N110" s="36">
        <v>0.3</v>
      </c>
      <c r="O110" s="37">
        <f t="shared" si="7"/>
        <v>8330400</v>
      </c>
    </row>
    <row r="111" spans="1:15" ht="22.5" customHeight="1" x14ac:dyDescent="0.35">
      <c r="A111" s="36">
        <v>94</v>
      </c>
      <c r="B111" s="34" t="s">
        <v>1383</v>
      </c>
      <c r="C111" s="22" t="s">
        <v>21</v>
      </c>
      <c r="D111" s="42">
        <v>2696022858</v>
      </c>
      <c r="E111" s="24" t="s">
        <v>1384</v>
      </c>
      <c r="F111" s="25" t="s">
        <v>1385</v>
      </c>
      <c r="G111" s="22" t="s">
        <v>1234</v>
      </c>
      <c r="H111" s="28" t="s">
        <v>225</v>
      </c>
      <c r="I111" s="28" t="s">
        <v>225</v>
      </c>
      <c r="J111" s="22" t="s">
        <v>160</v>
      </c>
      <c r="K111" s="146">
        <v>3.56</v>
      </c>
      <c r="L111" s="146"/>
      <c r="M111" s="146"/>
      <c r="N111" s="36">
        <v>0.3</v>
      </c>
      <c r="O111" s="37">
        <f t="shared" si="7"/>
        <v>8330400</v>
      </c>
    </row>
    <row r="112" spans="1:15" ht="22.5" customHeight="1" x14ac:dyDescent="0.35">
      <c r="A112" s="38">
        <v>95</v>
      </c>
      <c r="B112" s="34" t="s">
        <v>1386</v>
      </c>
      <c r="C112" s="22" t="s">
        <v>21</v>
      </c>
      <c r="D112" s="42">
        <v>2604003968</v>
      </c>
      <c r="E112" s="24" t="s">
        <v>1387</v>
      </c>
      <c r="F112" s="25" t="s">
        <v>1388</v>
      </c>
      <c r="G112" s="22" t="s">
        <v>1389</v>
      </c>
      <c r="H112" s="28" t="s">
        <v>136</v>
      </c>
      <c r="I112" s="28" t="s">
        <v>49</v>
      </c>
      <c r="J112" s="22" t="s">
        <v>50</v>
      </c>
      <c r="K112" s="146">
        <v>4.51</v>
      </c>
      <c r="L112" s="146"/>
      <c r="M112" s="146"/>
      <c r="N112" s="36">
        <v>0.3</v>
      </c>
      <c r="O112" s="37">
        <f t="shared" si="7"/>
        <v>10553400</v>
      </c>
    </row>
    <row r="113" spans="1:15" ht="22.5" customHeight="1" x14ac:dyDescent="0.35">
      <c r="A113" s="36">
        <v>96</v>
      </c>
      <c r="B113" s="34" t="s">
        <v>1390</v>
      </c>
      <c r="C113" s="22"/>
      <c r="D113" s="42">
        <v>3412006560</v>
      </c>
      <c r="E113" s="40" t="s">
        <v>1391</v>
      </c>
      <c r="F113" s="41" t="s">
        <v>1392</v>
      </c>
      <c r="G113" s="22" t="s">
        <v>1393</v>
      </c>
      <c r="H113" s="28" t="s">
        <v>136</v>
      </c>
      <c r="I113" s="28" t="s">
        <v>355</v>
      </c>
      <c r="J113" s="22" t="s">
        <v>335</v>
      </c>
      <c r="K113" s="146">
        <v>2.94</v>
      </c>
      <c r="L113" s="146"/>
      <c r="M113" s="146"/>
      <c r="N113" s="36">
        <v>0.3</v>
      </c>
      <c r="O113" s="37">
        <f t="shared" si="7"/>
        <v>6879600</v>
      </c>
    </row>
    <row r="114" spans="1:15" ht="22.5" customHeight="1" x14ac:dyDescent="0.35">
      <c r="A114" s="38">
        <v>97</v>
      </c>
      <c r="B114" s="34" t="s">
        <v>1394</v>
      </c>
      <c r="C114" s="28" t="s">
        <v>21</v>
      </c>
      <c r="D114" s="42">
        <v>2601003421</v>
      </c>
      <c r="E114" s="24" t="s">
        <v>1395</v>
      </c>
      <c r="F114" s="41" t="s">
        <v>1396</v>
      </c>
      <c r="G114" s="102" t="s">
        <v>920</v>
      </c>
      <c r="H114" s="28" t="s">
        <v>136</v>
      </c>
      <c r="I114" s="28" t="s">
        <v>49</v>
      </c>
      <c r="J114" s="28" t="s">
        <v>198</v>
      </c>
      <c r="K114" s="148">
        <v>4.2</v>
      </c>
      <c r="L114" s="148"/>
      <c r="M114" s="148"/>
      <c r="N114" s="36">
        <v>0.3</v>
      </c>
      <c r="O114" s="37">
        <f t="shared" si="7"/>
        <v>9828000</v>
      </c>
    </row>
    <row r="115" spans="1:15" ht="22.5" customHeight="1" x14ac:dyDescent="0.35">
      <c r="A115" s="36">
        <v>98</v>
      </c>
      <c r="B115" s="34" t="s">
        <v>1397</v>
      </c>
      <c r="C115" s="28" t="s">
        <v>21</v>
      </c>
      <c r="D115" s="103" t="s">
        <v>1398</v>
      </c>
      <c r="E115" s="58">
        <v>34386</v>
      </c>
      <c r="F115" s="84" t="s">
        <v>1399</v>
      </c>
      <c r="G115" s="102" t="s">
        <v>89</v>
      </c>
      <c r="H115" s="28" t="s">
        <v>136</v>
      </c>
      <c r="I115" s="28" t="s">
        <v>136</v>
      </c>
      <c r="J115" s="22" t="s">
        <v>137</v>
      </c>
      <c r="K115" s="146">
        <v>2.16</v>
      </c>
      <c r="L115" s="148"/>
      <c r="M115" s="148"/>
      <c r="N115" s="36">
        <v>0.3</v>
      </c>
      <c r="O115" s="37">
        <f t="shared" si="7"/>
        <v>5054400</v>
      </c>
    </row>
    <row r="116" spans="1:15" ht="22.5" customHeight="1" x14ac:dyDescent="0.35">
      <c r="A116" s="38">
        <v>99</v>
      </c>
      <c r="B116" s="34" t="s">
        <v>1400</v>
      </c>
      <c r="C116" s="22"/>
      <c r="D116" s="103" t="s">
        <v>1401</v>
      </c>
      <c r="E116" s="58" t="s">
        <v>1402</v>
      </c>
      <c r="F116" s="59" t="s">
        <v>1403</v>
      </c>
      <c r="G116" s="22" t="s">
        <v>1404</v>
      </c>
      <c r="H116" s="28" t="s">
        <v>136</v>
      </c>
      <c r="I116" s="28" t="s">
        <v>136</v>
      </c>
      <c r="J116" s="28" t="s">
        <v>160</v>
      </c>
      <c r="K116" s="146">
        <v>3.56</v>
      </c>
      <c r="L116" s="146"/>
      <c r="M116" s="146"/>
      <c r="N116" s="36">
        <v>0.3</v>
      </c>
      <c r="O116" s="37">
        <f t="shared" si="7"/>
        <v>8330400</v>
      </c>
    </row>
    <row r="117" spans="1:15" ht="29.25" customHeight="1" x14ac:dyDescent="0.35">
      <c r="A117" s="104"/>
      <c r="B117" s="105"/>
      <c r="C117" s="106"/>
      <c r="D117" s="107"/>
      <c r="E117" s="108"/>
      <c r="F117" s="107"/>
      <c r="G117" s="106"/>
      <c r="H117" s="109"/>
      <c r="I117" s="109"/>
      <c r="J117" s="110"/>
      <c r="K117" s="165">
        <f>SUM(K8:K116)</f>
        <v>369.07999999999981</v>
      </c>
      <c r="L117" s="165">
        <f>SUM(L8:L116)</f>
        <v>1.1000000000000001</v>
      </c>
      <c r="M117" s="165">
        <f>SUM(M8:M116)</f>
        <v>1.9999999999999998</v>
      </c>
      <c r="N117" s="110">
        <f>SUM(N8:N116)</f>
        <v>29.700000000000049</v>
      </c>
      <c r="O117" s="110" t="e">
        <f>SUM(O8:O116)</f>
        <v>#VALUE!</v>
      </c>
    </row>
  </sheetData>
  <mergeCells count="15">
    <mergeCell ref="A1:E1"/>
    <mergeCell ref="J1:O1"/>
    <mergeCell ref="A2:E2"/>
    <mergeCell ref="J2:O2"/>
    <mergeCell ref="A3:E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129"/>
  <sheetViews>
    <sheetView topLeftCell="A23" zoomScale="85" zoomScaleNormal="85" workbookViewId="0">
      <selection activeCell="B48" sqref="B48"/>
    </sheetView>
  </sheetViews>
  <sheetFormatPr defaultRowHeight="14.5" x14ac:dyDescent="0.35"/>
  <cols>
    <col min="1" max="1" width="5.453125" style="2" bestFit="1" customWidth="1"/>
    <col min="2" max="2" width="22.81640625" bestFit="1" customWidth="1"/>
    <col min="3" max="3" width="6.1796875" bestFit="1" customWidth="1"/>
    <col min="4" max="4" width="14" style="2" bestFit="1" customWidth="1"/>
    <col min="5" max="5" width="14" style="4" bestFit="1" customWidth="1"/>
    <col min="6" max="6" width="15.54296875" style="5" bestFit="1" customWidth="1"/>
    <col min="7" max="7" width="14" style="6" bestFit="1" customWidth="1"/>
    <col min="8" max="9" width="27.453125" style="7" bestFit="1" customWidth="1"/>
    <col min="10" max="10" width="8.453125" bestFit="1" customWidth="1"/>
    <col min="11" max="13" width="7.7265625" style="3" bestFit="1" customWidth="1"/>
    <col min="14" max="14" width="13.54296875" style="2" hidden="1" bestFit="1" customWidth="1"/>
    <col min="15" max="15" width="67.1796875" style="2" customWidth="1"/>
  </cols>
  <sheetData>
    <row r="1" spans="1:15" ht="26.25" customHeight="1" x14ac:dyDescent="0.35">
      <c r="A1" s="185" t="s">
        <v>0</v>
      </c>
      <c r="B1" s="186"/>
      <c r="C1" s="186"/>
      <c r="D1" s="185"/>
      <c r="E1" s="188"/>
      <c r="F1" s="187"/>
      <c r="G1" s="207"/>
      <c r="H1" s="189"/>
      <c r="I1" s="1"/>
      <c r="J1" s="186" t="s">
        <v>579</v>
      </c>
      <c r="K1" s="185"/>
      <c r="L1" s="185"/>
      <c r="M1" s="185"/>
      <c r="N1" s="185"/>
      <c r="O1" s="185"/>
    </row>
    <row r="2" spans="1:15" ht="18" customHeight="1" x14ac:dyDescent="0.35">
      <c r="A2" s="185" t="s">
        <v>2</v>
      </c>
      <c r="B2" s="186"/>
      <c r="C2" s="186"/>
      <c r="D2" s="185"/>
      <c r="E2" s="188"/>
      <c r="F2" s="187"/>
      <c r="G2" s="207"/>
      <c r="H2" s="189"/>
      <c r="I2" s="1"/>
      <c r="J2" s="190" t="s">
        <v>3</v>
      </c>
      <c r="K2" s="191"/>
      <c r="L2" s="191"/>
      <c r="M2" s="191"/>
      <c r="N2" s="191"/>
      <c r="O2" s="191"/>
    </row>
    <row r="3" spans="1:15" ht="26.25" customHeight="1" x14ac:dyDescent="0.35">
      <c r="A3" s="185" t="s">
        <v>4</v>
      </c>
      <c r="B3" s="186"/>
      <c r="C3" s="186"/>
      <c r="D3" s="185"/>
      <c r="E3" s="188"/>
      <c r="F3" s="187"/>
      <c r="G3" s="207"/>
      <c r="H3" s="189"/>
      <c r="I3" s="1"/>
      <c r="L3" s="154"/>
    </row>
    <row r="4" spans="1:15" ht="18.75" customHeight="1" x14ac:dyDescent="0.35"/>
    <row r="5" spans="1:15" ht="25.5" customHeight="1" x14ac:dyDescent="0.35">
      <c r="A5" s="200" t="s">
        <v>5</v>
      </c>
      <c r="B5" s="202" t="s">
        <v>6</v>
      </c>
      <c r="C5" s="195" t="s">
        <v>7</v>
      </c>
      <c r="D5" s="204" t="s">
        <v>8</v>
      </c>
      <c r="E5" s="183" t="s">
        <v>9</v>
      </c>
      <c r="F5" s="172" t="s">
        <v>10</v>
      </c>
      <c r="G5" s="193" t="s">
        <v>11</v>
      </c>
      <c r="H5" s="195" t="s">
        <v>12</v>
      </c>
      <c r="I5" s="174" t="s">
        <v>13</v>
      </c>
      <c r="J5" s="198" t="s">
        <v>14</v>
      </c>
      <c r="K5" s="199"/>
      <c r="L5" s="199"/>
      <c r="M5" s="199"/>
      <c r="N5" s="199"/>
      <c r="O5" s="199"/>
    </row>
    <row r="6" spans="1:15" ht="42.75" customHeight="1" x14ac:dyDescent="0.35">
      <c r="A6" s="201"/>
      <c r="B6" s="203"/>
      <c r="C6" s="196"/>
      <c r="D6" s="205"/>
      <c r="E6" s="206"/>
      <c r="F6" s="192"/>
      <c r="G6" s="194"/>
      <c r="H6" s="196"/>
      <c r="I6" s="197"/>
      <c r="J6" s="9" t="s">
        <v>15</v>
      </c>
      <c r="K6" s="10" t="s">
        <v>16</v>
      </c>
      <c r="L6" s="10" t="s">
        <v>18</v>
      </c>
      <c r="M6" s="10" t="s">
        <v>17</v>
      </c>
      <c r="N6" s="8"/>
      <c r="O6" s="8" t="s">
        <v>19</v>
      </c>
    </row>
    <row r="7" spans="1:15" ht="21" customHeight="1" x14ac:dyDescent="0.35">
      <c r="A7" s="11"/>
      <c r="B7" s="12" t="s">
        <v>1405</v>
      </c>
      <c r="C7" s="13"/>
      <c r="D7" s="14"/>
      <c r="E7" s="15"/>
      <c r="F7" s="16"/>
      <c r="G7" s="17"/>
      <c r="H7" s="18"/>
      <c r="I7" s="18"/>
      <c r="J7" s="19"/>
      <c r="K7" s="166"/>
      <c r="L7" s="166"/>
      <c r="M7" s="166"/>
      <c r="N7" s="19"/>
      <c r="O7" s="19"/>
    </row>
    <row r="8" spans="1:15" ht="22.5" customHeight="1" x14ac:dyDescent="0.35">
      <c r="A8" s="30">
        <v>1</v>
      </c>
      <c r="B8" s="21" t="s">
        <v>580</v>
      </c>
      <c r="C8" s="75"/>
      <c r="D8" s="54" t="s">
        <v>581</v>
      </c>
      <c r="E8" s="40" t="s">
        <v>582</v>
      </c>
      <c r="F8" s="41" t="s">
        <v>583</v>
      </c>
      <c r="G8" s="26" t="s">
        <v>584</v>
      </c>
      <c r="H8" s="76" t="s">
        <v>26</v>
      </c>
      <c r="I8" s="28" t="s">
        <v>27</v>
      </c>
      <c r="J8" s="76" t="s">
        <v>176</v>
      </c>
      <c r="K8" s="167" t="s">
        <v>585</v>
      </c>
      <c r="L8" s="167">
        <v>0.5</v>
      </c>
      <c r="M8" s="167"/>
      <c r="N8" s="31">
        <v>0.3</v>
      </c>
      <c r="O8" s="32" t="e">
        <f>(K8+L8+M8)*2340000+(L8*2340000)</f>
        <v>#VALUE!</v>
      </c>
    </row>
    <row r="9" spans="1:15" ht="22.5" customHeight="1" x14ac:dyDescent="0.35">
      <c r="A9" s="36">
        <v>2</v>
      </c>
      <c r="B9" s="34" t="s">
        <v>586</v>
      </c>
      <c r="C9" s="77"/>
      <c r="D9" s="54" t="s">
        <v>587</v>
      </c>
      <c r="E9" s="40" t="s">
        <v>588</v>
      </c>
      <c r="F9" s="41" t="s">
        <v>589</v>
      </c>
      <c r="G9" s="26" t="s">
        <v>590</v>
      </c>
      <c r="H9" s="43" t="s">
        <v>34</v>
      </c>
      <c r="I9" s="28" t="s">
        <v>27</v>
      </c>
      <c r="J9" s="43" t="s">
        <v>176</v>
      </c>
      <c r="K9" s="158" t="s">
        <v>585</v>
      </c>
      <c r="L9" s="158">
        <v>0.3</v>
      </c>
      <c r="M9" s="158"/>
      <c r="N9" s="36">
        <v>0.3</v>
      </c>
      <c r="O9" s="37" t="e">
        <f t="shared" ref="O9:O15" si="0">(K9+L9+M9)*2340000</f>
        <v>#VALUE!</v>
      </c>
    </row>
    <row r="10" spans="1:15" ht="22.5" customHeight="1" x14ac:dyDescent="0.35">
      <c r="A10" s="33">
        <v>3</v>
      </c>
      <c r="B10" s="34" t="s">
        <v>591</v>
      </c>
      <c r="C10" s="77"/>
      <c r="D10" s="54" t="s">
        <v>592</v>
      </c>
      <c r="E10" s="40" t="s">
        <v>593</v>
      </c>
      <c r="F10" s="41" t="s">
        <v>594</v>
      </c>
      <c r="G10" s="26" t="s">
        <v>595</v>
      </c>
      <c r="H10" s="43" t="s">
        <v>34</v>
      </c>
      <c r="I10" s="28" t="s">
        <v>27</v>
      </c>
      <c r="J10" s="43" t="s">
        <v>176</v>
      </c>
      <c r="K10" s="158" t="s">
        <v>585</v>
      </c>
      <c r="L10" s="158">
        <v>0.3</v>
      </c>
      <c r="M10" s="158"/>
      <c r="N10" s="36">
        <v>0.3</v>
      </c>
      <c r="O10" s="37" t="e">
        <f t="shared" si="0"/>
        <v>#VALUE!</v>
      </c>
    </row>
    <row r="11" spans="1:15" ht="22.5" customHeight="1" x14ac:dyDescent="0.35">
      <c r="A11" s="38">
        <v>4</v>
      </c>
      <c r="B11" s="34" t="s">
        <v>596</v>
      </c>
      <c r="C11" s="77"/>
      <c r="D11" s="54" t="s">
        <v>597</v>
      </c>
      <c r="E11" s="40" t="s">
        <v>598</v>
      </c>
      <c r="F11" s="41" t="s">
        <v>599</v>
      </c>
      <c r="G11" s="26" t="s">
        <v>462</v>
      </c>
      <c r="H11" s="43" t="s">
        <v>48</v>
      </c>
      <c r="I11" s="43" t="s">
        <v>49</v>
      </c>
      <c r="J11" s="43" t="s">
        <v>198</v>
      </c>
      <c r="K11" s="158" t="s">
        <v>600</v>
      </c>
      <c r="L11" s="158"/>
      <c r="M11" s="158">
        <v>0.2</v>
      </c>
      <c r="N11" s="36">
        <v>0.3</v>
      </c>
      <c r="O11" s="37" t="e">
        <f t="shared" si="0"/>
        <v>#VALUE!</v>
      </c>
    </row>
    <row r="12" spans="1:15" ht="22.5" customHeight="1" x14ac:dyDescent="0.35">
      <c r="A12" s="36">
        <v>5</v>
      </c>
      <c r="B12" s="34" t="s">
        <v>601</v>
      </c>
      <c r="C12" s="44" t="s">
        <v>21</v>
      </c>
      <c r="D12" s="45">
        <v>2605000295</v>
      </c>
      <c r="E12" s="40" t="s">
        <v>602</v>
      </c>
      <c r="F12" s="41" t="s">
        <v>603</v>
      </c>
      <c r="G12" s="26">
        <v>37561</v>
      </c>
      <c r="H12" s="43" t="s">
        <v>61</v>
      </c>
      <c r="I12" s="43" t="s">
        <v>49</v>
      </c>
      <c r="J12" s="43" t="s">
        <v>43</v>
      </c>
      <c r="K12" s="158" t="s">
        <v>604</v>
      </c>
      <c r="L12" s="158"/>
      <c r="M12" s="158"/>
      <c r="N12" s="36">
        <v>0.3</v>
      </c>
      <c r="O12" s="37" t="e">
        <f t="shared" si="0"/>
        <v>#VALUE!</v>
      </c>
    </row>
    <row r="13" spans="1:15" ht="22.5" customHeight="1" x14ac:dyDescent="0.35">
      <c r="A13" s="33">
        <v>6</v>
      </c>
      <c r="B13" s="34" t="s">
        <v>605</v>
      </c>
      <c r="C13" s="44" t="s">
        <v>21</v>
      </c>
      <c r="D13" s="54" t="s">
        <v>606</v>
      </c>
      <c r="E13" s="40" t="s">
        <v>607</v>
      </c>
      <c r="F13" s="41" t="s">
        <v>608</v>
      </c>
      <c r="G13" s="26">
        <v>42430</v>
      </c>
      <c r="H13" s="43" t="s">
        <v>609</v>
      </c>
      <c r="I13" s="43" t="s">
        <v>225</v>
      </c>
      <c r="J13" s="44" t="s">
        <v>175</v>
      </c>
      <c r="K13" s="157" t="s">
        <v>610</v>
      </c>
      <c r="L13" s="157"/>
      <c r="M13" s="157"/>
      <c r="N13" s="36">
        <v>0.3</v>
      </c>
      <c r="O13" s="37" t="e">
        <f t="shared" si="0"/>
        <v>#VALUE!</v>
      </c>
    </row>
    <row r="14" spans="1:15" ht="22.5" customHeight="1" x14ac:dyDescent="0.35">
      <c r="A14" s="38">
        <v>7</v>
      </c>
      <c r="B14" s="34" t="s">
        <v>611</v>
      </c>
      <c r="C14" s="63"/>
      <c r="D14" s="45">
        <v>2603001979</v>
      </c>
      <c r="E14" s="40" t="s">
        <v>612</v>
      </c>
      <c r="F14" s="41" t="s">
        <v>613</v>
      </c>
      <c r="G14" s="26" t="s">
        <v>614</v>
      </c>
      <c r="H14" s="28" t="s">
        <v>69</v>
      </c>
      <c r="I14" s="28" t="s">
        <v>69</v>
      </c>
      <c r="J14" s="28" t="s">
        <v>70</v>
      </c>
      <c r="K14" s="141" t="s">
        <v>615</v>
      </c>
      <c r="L14" s="141"/>
      <c r="M14" s="141"/>
      <c r="N14" s="36">
        <v>0.3</v>
      </c>
      <c r="O14" s="37" t="e">
        <f t="shared" si="0"/>
        <v>#VALUE!</v>
      </c>
    </row>
    <row r="15" spans="1:15" ht="22.5" customHeight="1" x14ac:dyDescent="0.35">
      <c r="A15" s="36">
        <v>8</v>
      </c>
      <c r="B15" s="34" t="s">
        <v>616</v>
      </c>
      <c r="C15" s="63"/>
      <c r="D15" s="54" t="s">
        <v>617</v>
      </c>
      <c r="E15" s="40" t="s">
        <v>618</v>
      </c>
      <c r="F15" s="41" t="s">
        <v>619</v>
      </c>
      <c r="G15" s="26" t="s">
        <v>620</v>
      </c>
      <c r="H15" s="28" t="s">
        <v>621</v>
      </c>
      <c r="I15" s="28" t="s">
        <v>136</v>
      </c>
      <c r="J15" s="22" t="s">
        <v>164</v>
      </c>
      <c r="K15" s="100" t="s">
        <v>622</v>
      </c>
      <c r="L15" s="100"/>
      <c r="M15" s="100"/>
      <c r="N15" s="36">
        <v>0.3</v>
      </c>
      <c r="O15" s="37" t="e">
        <f t="shared" si="0"/>
        <v>#VALUE!</v>
      </c>
    </row>
    <row r="16" spans="1:15" ht="22.5" customHeight="1" x14ac:dyDescent="0.35">
      <c r="A16" s="36"/>
      <c r="B16" s="47" t="s">
        <v>623</v>
      </c>
      <c r="C16" s="63"/>
      <c r="D16" s="45"/>
      <c r="E16" s="45"/>
      <c r="F16" s="78"/>
      <c r="G16" s="38"/>
      <c r="H16" s="28"/>
      <c r="I16" s="28"/>
      <c r="J16" s="38"/>
      <c r="K16" s="100"/>
      <c r="L16" s="100"/>
      <c r="M16" s="100"/>
      <c r="N16" s="36"/>
      <c r="O16" s="37"/>
    </row>
    <row r="17" spans="1:15" ht="22.5" customHeight="1" x14ac:dyDescent="0.35">
      <c r="A17" s="33">
        <v>9</v>
      </c>
      <c r="B17" s="34" t="s">
        <v>624</v>
      </c>
      <c r="C17" s="22"/>
      <c r="D17" s="23" t="s">
        <v>625</v>
      </c>
      <c r="E17" s="40" t="s">
        <v>626</v>
      </c>
      <c r="F17" s="41" t="s">
        <v>627</v>
      </c>
      <c r="G17" s="26" t="s">
        <v>628</v>
      </c>
      <c r="H17" s="28" t="s">
        <v>629</v>
      </c>
      <c r="I17" s="43" t="s">
        <v>49</v>
      </c>
      <c r="J17" s="22" t="s">
        <v>37</v>
      </c>
      <c r="K17" s="100" t="s">
        <v>630</v>
      </c>
      <c r="L17" s="100"/>
      <c r="M17" s="100">
        <v>0.2</v>
      </c>
      <c r="N17" s="36">
        <v>0.3</v>
      </c>
      <c r="O17" s="37" t="e">
        <f>(K17+L17+M17)*2340000</f>
        <v>#VALUE!</v>
      </c>
    </row>
    <row r="18" spans="1:15" ht="22.5" customHeight="1" x14ac:dyDescent="0.35">
      <c r="A18" s="38">
        <v>10</v>
      </c>
      <c r="B18" s="34" t="s">
        <v>631</v>
      </c>
      <c r="C18" s="44" t="s">
        <v>21</v>
      </c>
      <c r="D18" s="45">
        <v>2603001982</v>
      </c>
      <c r="E18" s="40" t="s">
        <v>632</v>
      </c>
      <c r="F18" s="41" t="s">
        <v>633</v>
      </c>
      <c r="G18" s="26" t="s">
        <v>578</v>
      </c>
      <c r="H18" s="43" t="s">
        <v>634</v>
      </c>
      <c r="I18" s="43" t="s">
        <v>49</v>
      </c>
      <c r="J18" s="43" t="s">
        <v>43</v>
      </c>
      <c r="K18" s="158" t="s">
        <v>604</v>
      </c>
      <c r="L18" s="158"/>
      <c r="M18" s="158">
        <v>0.1</v>
      </c>
      <c r="N18" s="36">
        <v>0.3</v>
      </c>
      <c r="O18" s="37" t="e">
        <f>(K18+L18+M18)*2340000</f>
        <v>#VALUE!</v>
      </c>
    </row>
    <row r="19" spans="1:15" ht="22.5" customHeight="1" x14ac:dyDescent="0.35">
      <c r="A19" s="36">
        <v>11</v>
      </c>
      <c r="B19" s="34" t="s">
        <v>635</v>
      </c>
      <c r="C19" s="22" t="s">
        <v>21</v>
      </c>
      <c r="D19" s="54" t="s">
        <v>636</v>
      </c>
      <c r="E19" s="40" t="s">
        <v>637</v>
      </c>
      <c r="F19" s="41" t="s">
        <v>638</v>
      </c>
      <c r="G19" s="26" t="s">
        <v>639</v>
      </c>
      <c r="H19" s="28" t="s">
        <v>640</v>
      </c>
      <c r="I19" s="43" t="s">
        <v>49</v>
      </c>
      <c r="J19" s="22" t="s">
        <v>37</v>
      </c>
      <c r="K19" s="100" t="s">
        <v>630</v>
      </c>
      <c r="L19" s="100"/>
      <c r="M19" s="100"/>
      <c r="N19" s="36">
        <v>0.3</v>
      </c>
      <c r="O19" s="37" t="e">
        <f>(K19+L19+M19)*2340000</f>
        <v>#VALUE!</v>
      </c>
    </row>
    <row r="20" spans="1:15" ht="22.5" customHeight="1" x14ac:dyDescent="0.35">
      <c r="A20" s="33">
        <v>12</v>
      </c>
      <c r="B20" s="34" t="s">
        <v>641</v>
      </c>
      <c r="C20" s="22" t="s">
        <v>21</v>
      </c>
      <c r="D20" s="45">
        <v>3415008014</v>
      </c>
      <c r="E20" s="40" t="s">
        <v>642</v>
      </c>
      <c r="F20" s="41" t="s">
        <v>643</v>
      </c>
      <c r="G20" s="26" t="s">
        <v>322</v>
      </c>
      <c r="H20" s="28" t="s">
        <v>640</v>
      </c>
      <c r="I20" s="43" t="s">
        <v>49</v>
      </c>
      <c r="J20" s="22" t="s">
        <v>37</v>
      </c>
      <c r="K20" s="100" t="s">
        <v>630</v>
      </c>
      <c r="L20" s="100"/>
      <c r="M20" s="100"/>
      <c r="N20" s="36">
        <v>0.3</v>
      </c>
      <c r="O20" s="37" t="e">
        <f>(K20+L20+M20)*2340000</f>
        <v>#VALUE!</v>
      </c>
    </row>
    <row r="21" spans="1:15" ht="22.5" customHeight="1" x14ac:dyDescent="0.35">
      <c r="A21" s="46"/>
      <c r="B21" s="47" t="s">
        <v>97</v>
      </c>
      <c r="C21" s="35"/>
      <c r="D21" s="65"/>
      <c r="E21" s="65"/>
      <c r="F21" s="79"/>
      <c r="G21" s="39"/>
      <c r="H21" s="52"/>
      <c r="I21" s="52"/>
      <c r="J21" s="39"/>
      <c r="K21" s="159"/>
      <c r="L21" s="159"/>
      <c r="M21" s="159"/>
      <c r="N21" s="52"/>
      <c r="O21" s="53"/>
    </row>
    <row r="22" spans="1:15" ht="22.5" customHeight="1" x14ac:dyDescent="0.35">
      <c r="A22" s="38">
        <v>13</v>
      </c>
      <c r="B22" s="34" t="s">
        <v>644</v>
      </c>
      <c r="C22" s="63"/>
      <c r="D22" s="54" t="s">
        <v>645</v>
      </c>
      <c r="E22" s="40" t="s">
        <v>646</v>
      </c>
      <c r="F22" s="41" t="s">
        <v>647</v>
      </c>
      <c r="G22" s="26" t="s">
        <v>648</v>
      </c>
      <c r="H22" s="28" t="s">
        <v>649</v>
      </c>
      <c r="I22" s="28" t="s">
        <v>27</v>
      </c>
      <c r="J22" s="28" t="s">
        <v>198</v>
      </c>
      <c r="K22" s="141" t="s">
        <v>622</v>
      </c>
      <c r="L22" s="141"/>
      <c r="M22" s="141">
        <v>0.2</v>
      </c>
      <c r="N22" s="36">
        <v>0.3</v>
      </c>
      <c r="O22" s="37" t="e">
        <f t="shared" ref="O22:O27" si="1">(K22+L22+M22)*2340000</f>
        <v>#VALUE!</v>
      </c>
    </row>
    <row r="23" spans="1:15" ht="22.5" customHeight="1" x14ac:dyDescent="0.35">
      <c r="A23" s="36">
        <v>14</v>
      </c>
      <c r="B23" s="34" t="s">
        <v>650</v>
      </c>
      <c r="C23" s="28"/>
      <c r="D23" s="42">
        <v>2696022828</v>
      </c>
      <c r="E23" s="24" t="s">
        <v>582</v>
      </c>
      <c r="F23" s="25" t="s">
        <v>651</v>
      </c>
      <c r="G23" s="26" t="s">
        <v>652</v>
      </c>
      <c r="H23" s="28" t="s">
        <v>653</v>
      </c>
      <c r="I23" s="28" t="s">
        <v>27</v>
      </c>
      <c r="J23" s="28" t="s">
        <v>50</v>
      </c>
      <c r="K23" s="141" t="s">
        <v>654</v>
      </c>
      <c r="L23" s="141"/>
      <c r="M23" s="141">
        <v>0.1</v>
      </c>
      <c r="N23" s="36">
        <v>0.3</v>
      </c>
      <c r="O23" s="37" t="e">
        <f t="shared" si="1"/>
        <v>#VALUE!</v>
      </c>
    </row>
    <row r="24" spans="1:15" ht="22.5" customHeight="1" x14ac:dyDescent="0.35">
      <c r="A24" s="33">
        <v>15</v>
      </c>
      <c r="B24" s="34" t="s">
        <v>655</v>
      </c>
      <c r="C24" s="63"/>
      <c r="D24" s="45">
        <v>2603001984</v>
      </c>
      <c r="E24" s="40" t="s">
        <v>656</v>
      </c>
      <c r="F24" s="41" t="s">
        <v>657</v>
      </c>
      <c r="G24" s="26" t="s">
        <v>658</v>
      </c>
      <c r="H24" s="28" t="s">
        <v>659</v>
      </c>
      <c r="I24" s="28" t="s">
        <v>27</v>
      </c>
      <c r="J24" s="28" t="s">
        <v>43</v>
      </c>
      <c r="K24" s="141" t="s">
        <v>604</v>
      </c>
      <c r="L24" s="141"/>
      <c r="M24" s="141"/>
      <c r="N24" s="36">
        <v>0.3</v>
      </c>
      <c r="O24" s="37" t="e">
        <f t="shared" si="1"/>
        <v>#VALUE!</v>
      </c>
    </row>
    <row r="25" spans="1:15" ht="22.5" customHeight="1" x14ac:dyDescent="0.35">
      <c r="A25" s="38">
        <v>16</v>
      </c>
      <c r="B25" s="34" t="s">
        <v>660</v>
      </c>
      <c r="C25" s="22" t="s">
        <v>21</v>
      </c>
      <c r="D25" s="45">
        <v>2603001983</v>
      </c>
      <c r="E25" s="40" t="s">
        <v>661</v>
      </c>
      <c r="F25" s="41" t="s">
        <v>662</v>
      </c>
      <c r="G25" s="26" t="s">
        <v>578</v>
      </c>
      <c r="H25" s="28" t="s">
        <v>659</v>
      </c>
      <c r="I25" s="28" t="s">
        <v>49</v>
      </c>
      <c r="J25" s="28" t="s">
        <v>43</v>
      </c>
      <c r="K25" s="141" t="s">
        <v>604</v>
      </c>
      <c r="L25" s="141"/>
      <c r="M25" s="141"/>
      <c r="N25" s="36">
        <v>0.3</v>
      </c>
      <c r="O25" s="37" t="e">
        <f t="shared" si="1"/>
        <v>#VALUE!</v>
      </c>
    </row>
    <row r="26" spans="1:15" ht="22.5" customHeight="1" x14ac:dyDescent="0.35">
      <c r="A26" s="36">
        <v>17</v>
      </c>
      <c r="B26" s="34" t="s">
        <v>663</v>
      </c>
      <c r="C26" s="22"/>
      <c r="D26" s="54" t="s">
        <v>664</v>
      </c>
      <c r="E26" s="40">
        <v>28176</v>
      </c>
      <c r="F26" s="41" t="s">
        <v>665</v>
      </c>
      <c r="G26" s="26" t="s">
        <v>574</v>
      </c>
      <c r="H26" s="28" t="s">
        <v>659</v>
      </c>
      <c r="I26" s="28" t="s">
        <v>666</v>
      </c>
      <c r="J26" s="28" t="s">
        <v>137</v>
      </c>
      <c r="K26" s="141" t="s">
        <v>667</v>
      </c>
      <c r="L26" s="141"/>
      <c r="M26" s="141"/>
      <c r="N26" s="36">
        <v>0.3</v>
      </c>
      <c r="O26" s="37" t="e">
        <f t="shared" si="1"/>
        <v>#VALUE!</v>
      </c>
    </row>
    <row r="27" spans="1:15" ht="22.5" customHeight="1" x14ac:dyDescent="0.35">
      <c r="A27" s="33">
        <v>18</v>
      </c>
      <c r="B27" s="34" t="s">
        <v>668</v>
      </c>
      <c r="C27" s="22"/>
      <c r="D27" s="45">
        <v>3414007447</v>
      </c>
      <c r="E27" s="40" t="s">
        <v>669</v>
      </c>
      <c r="F27" s="41" t="s">
        <v>670</v>
      </c>
      <c r="G27" s="26" t="s">
        <v>122</v>
      </c>
      <c r="H27" s="28" t="s">
        <v>659</v>
      </c>
      <c r="I27" s="28" t="s">
        <v>27</v>
      </c>
      <c r="J27" s="22" t="s">
        <v>37</v>
      </c>
      <c r="K27" s="100" t="s">
        <v>630</v>
      </c>
      <c r="L27" s="100"/>
      <c r="M27" s="100"/>
      <c r="N27" s="36">
        <v>0.3</v>
      </c>
      <c r="O27" s="37" t="e">
        <f t="shared" si="1"/>
        <v>#VALUE!</v>
      </c>
    </row>
    <row r="28" spans="1:15" ht="22.5" customHeight="1" x14ac:dyDescent="0.35">
      <c r="A28" s="46"/>
      <c r="B28" s="47" t="s">
        <v>1110</v>
      </c>
      <c r="C28" s="35"/>
      <c r="D28" s="65"/>
      <c r="E28" s="65"/>
      <c r="F28" s="79"/>
      <c r="G28" s="39"/>
      <c r="H28" s="52"/>
      <c r="I28" s="52"/>
      <c r="J28" s="39"/>
      <c r="K28" s="159"/>
      <c r="L28" s="159"/>
      <c r="M28" s="159"/>
      <c r="N28" s="52"/>
      <c r="O28" s="53"/>
    </row>
    <row r="29" spans="1:15" ht="22.5" customHeight="1" x14ac:dyDescent="0.35">
      <c r="A29" s="38">
        <v>19</v>
      </c>
      <c r="B29" s="34" t="s">
        <v>671</v>
      </c>
      <c r="C29" s="63"/>
      <c r="D29" s="54" t="s">
        <v>672</v>
      </c>
      <c r="E29" s="40" t="s">
        <v>673</v>
      </c>
      <c r="F29" s="41" t="s">
        <v>674</v>
      </c>
      <c r="G29" s="26" t="s">
        <v>595</v>
      </c>
      <c r="H29" s="28" t="s">
        <v>675</v>
      </c>
      <c r="I29" s="28" t="s">
        <v>129</v>
      </c>
      <c r="J29" s="28" t="s">
        <v>164</v>
      </c>
      <c r="K29" s="141" t="s">
        <v>676</v>
      </c>
      <c r="L29" s="141"/>
      <c r="M29" s="141">
        <v>0.2</v>
      </c>
      <c r="N29" s="36">
        <v>0.3</v>
      </c>
      <c r="O29" s="37" t="e">
        <f>(K29+L29+M29)*2340000</f>
        <v>#VALUE!</v>
      </c>
    </row>
    <row r="30" spans="1:15" ht="22.5" customHeight="1" x14ac:dyDescent="0.35">
      <c r="A30" s="36">
        <v>20</v>
      </c>
      <c r="B30" s="34" t="s">
        <v>677</v>
      </c>
      <c r="C30" s="63"/>
      <c r="D30" s="45">
        <v>2696020976</v>
      </c>
      <c r="E30" s="40" t="s">
        <v>678</v>
      </c>
      <c r="F30" s="41" t="s">
        <v>679</v>
      </c>
      <c r="G30" s="26" t="s">
        <v>209</v>
      </c>
      <c r="H30" s="28" t="s">
        <v>129</v>
      </c>
      <c r="I30" s="28" t="s">
        <v>129</v>
      </c>
      <c r="J30" s="28" t="s">
        <v>164</v>
      </c>
      <c r="K30" s="141" t="s">
        <v>676</v>
      </c>
      <c r="L30" s="141"/>
      <c r="M30" s="141"/>
      <c r="N30" s="36">
        <v>0.3</v>
      </c>
      <c r="O30" s="37" t="e">
        <f>(K30+L30+M30)*2340000</f>
        <v>#VALUE!</v>
      </c>
    </row>
    <row r="31" spans="1:15" ht="22.5" customHeight="1" x14ac:dyDescent="0.35">
      <c r="A31" s="33">
        <v>21</v>
      </c>
      <c r="B31" s="34" t="s">
        <v>680</v>
      </c>
      <c r="C31" s="63"/>
      <c r="D31" s="54" t="s">
        <v>681</v>
      </c>
      <c r="E31" s="40" t="s">
        <v>682</v>
      </c>
      <c r="F31" s="41" t="s">
        <v>683</v>
      </c>
      <c r="G31" s="26" t="s">
        <v>684</v>
      </c>
      <c r="H31" s="28" t="s">
        <v>225</v>
      </c>
      <c r="I31" s="28" t="s">
        <v>225</v>
      </c>
      <c r="J31" s="28" t="s">
        <v>164</v>
      </c>
      <c r="K31" s="141" t="s">
        <v>676</v>
      </c>
      <c r="L31" s="100"/>
      <c r="M31" s="100"/>
      <c r="N31" s="36">
        <v>0.3</v>
      </c>
      <c r="O31" s="37" t="e">
        <f>(K31+L31+M31)*2340000</f>
        <v>#VALUE!</v>
      </c>
    </row>
    <row r="32" spans="1:15" ht="22.5" customHeight="1" x14ac:dyDescent="0.35">
      <c r="A32" s="38">
        <v>22</v>
      </c>
      <c r="B32" s="34" t="s">
        <v>685</v>
      </c>
      <c r="C32" s="63"/>
      <c r="D32" s="45">
        <v>2699040025</v>
      </c>
      <c r="E32" s="40" t="s">
        <v>686</v>
      </c>
      <c r="F32" s="41" t="s">
        <v>687</v>
      </c>
      <c r="G32" s="26" t="s">
        <v>688</v>
      </c>
      <c r="H32" s="28" t="s">
        <v>689</v>
      </c>
      <c r="I32" s="28" t="s">
        <v>689</v>
      </c>
      <c r="J32" s="28" t="s">
        <v>160</v>
      </c>
      <c r="K32" s="141" t="s">
        <v>690</v>
      </c>
      <c r="L32" s="141"/>
      <c r="M32" s="141"/>
      <c r="N32" s="36">
        <v>0.3</v>
      </c>
      <c r="O32" s="37" t="e">
        <f>(K32+L32+M32)*2340000</f>
        <v>#VALUE!</v>
      </c>
    </row>
    <row r="33" spans="1:15" ht="22.5" customHeight="1" x14ac:dyDescent="0.35">
      <c r="A33" s="39"/>
      <c r="B33" s="47" t="s">
        <v>691</v>
      </c>
      <c r="C33" s="64"/>
      <c r="D33" s="65"/>
      <c r="E33" s="65"/>
      <c r="F33" s="79"/>
      <c r="G33" s="39"/>
      <c r="H33" s="52"/>
      <c r="I33" s="52"/>
      <c r="J33" s="52"/>
      <c r="K33" s="160"/>
      <c r="L33" s="160"/>
      <c r="M33" s="160"/>
      <c r="N33" s="52"/>
      <c r="O33" s="53"/>
    </row>
    <row r="34" spans="1:15" ht="22.5" customHeight="1" x14ac:dyDescent="0.35">
      <c r="A34" s="36">
        <v>23</v>
      </c>
      <c r="B34" s="34" t="s">
        <v>692</v>
      </c>
      <c r="C34" s="63"/>
      <c r="D34" s="45">
        <v>2696002892</v>
      </c>
      <c r="E34" s="40" t="s">
        <v>693</v>
      </c>
      <c r="F34" s="41" t="s">
        <v>694</v>
      </c>
      <c r="G34" s="26" t="s">
        <v>684</v>
      </c>
      <c r="H34" s="28" t="s">
        <v>145</v>
      </c>
      <c r="I34" s="28" t="s">
        <v>27</v>
      </c>
      <c r="J34" s="28" t="s">
        <v>50</v>
      </c>
      <c r="K34" s="141" t="s">
        <v>654</v>
      </c>
      <c r="L34" s="141"/>
      <c r="M34" s="141">
        <v>0.2</v>
      </c>
      <c r="N34" s="36">
        <v>0.3</v>
      </c>
      <c r="O34" s="37" t="e">
        <f t="shared" ref="O34:O39" si="2">(K34+L34+M34)*2340000</f>
        <v>#VALUE!</v>
      </c>
    </row>
    <row r="35" spans="1:15" ht="22.5" customHeight="1" x14ac:dyDescent="0.35">
      <c r="A35" s="33">
        <v>24</v>
      </c>
      <c r="B35" s="34" t="s">
        <v>695</v>
      </c>
      <c r="C35" s="63"/>
      <c r="D35" s="45">
        <v>2607003423</v>
      </c>
      <c r="E35" s="40" t="s">
        <v>696</v>
      </c>
      <c r="F35" s="41" t="s">
        <v>697</v>
      </c>
      <c r="G35" s="26" t="s">
        <v>698</v>
      </c>
      <c r="H35" s="28" t="s">
        <v>136</v>
      </c>
      <c r="I35" s="28" t="s">
        <v>136</v>
      </c>
      <c r="J35" s="28" t="s">
        <v>160</v>
      </c>
      <c r="K35" s="100">
        <v>3.56</v>
      </c>
      <c r="L35" s="141"/>
      <c r="M35" s="141"/>
      <c r="N35" s="36">
        <v>0.3</v>
      </c>
      <c r="O35" s="37">
        <f t="shared" si="2"/>
        <v>8330400</v>
      </c>
    </row>
    <row r="36" spans="1:15" ht="22.5" customHeight="1" x14ac:dyDescent="0.35">
      <c r="A36" s="38">
        <v>25</v>
      </c>
      <c r="B36" s="34" t="s">
        <v>699</v>
      </c>
      <c r="C36" s="22" t="s">
        <v>21</v>
      </c>
      <c r="D36" s="42">
        <v>2604000546</v>
      </c>
      <c r="E36" s="24" t="s">
        <v>700</v>
      </c>
      <c r="F36" s="25" t="s">
        <v>701</v>
      </c>
      <c r="G36" s="26" t="s">
        <v>702</v>
      </c>
      <c r="H36" s="28" t="s">
        <v>136</v>
      </c>
      <c r="I36" s="28" t="s">
        <v>136</v>
      </c>
      <c r="J36" s="28" t="s">
        <v>160</v>
      </c>
      <c r="K36" s="100">
        <v>3.56</v>
      </c>
      <c r="L36" s="100"/>
      <c r="M36" s="100"/>
      <c r="N36" s="36">
        <v>0.3</v>
      </c>
      <c r="O36" s="37">
        <f t="shared" si="2"/>
        <v>8330400</v>
      </c>
    </row>
    <row r="37" spans="1:15" ht="22.5" customHeight="1" x14ac:dyDescent="0.35">
      <c r="A37" s="36">
        <v>26</v>
      </c>
      <c r="B37" s="34" t="s">
        <v>703</v>
      </c>
      <c r="C37" s="22" t="s">
        <v>21</v>
      </c>
      <c r="D37" s="42">
        <v>2696039377</v>
      </c>
      <c r="E37" s="24" t="s">
        <v>704</v>
      </c>
      <c r="F37" s="25" t="s">
        <v>705</v>
      </c>
      <c r="G37" s="26" t="s">
        <v>706</v>
      </c>
      <c r="H37" s="28" t="s">
        <v>136</v>
      </c>
      <c r="I37" s="28" t="s">
        <v>136</v>
      </c>
      <c r="J37" s="28" t="s">
        <v>160</v>
      </c>
      <c r="K37" s="100">
        <v>3.56</v>
      </c>
      <c r="L37" s="100"/>
      <c r="M37" s="100"/>
      <c r="N37" s="36">
        <v>0.3</v>
      </c>
      <c r="O37" s="37">
        <f t="shared" si="2"/>
        <v>8330400</v>
      </c>
    </row>
    <row r="38" spans="1:15" ht="22.5" customHeight="1" x14ac:dyDescent="0.35">
      <c r="A38" s="33">
        <v>27</v>
      </c>
      <c r="B38" s="34" t="s">
        <v>707</v>
      </c>
      <c r="C38" s="22"/>
      <c r="D38" s="42">
        <v>2696022875</v>
      </c>
      <c r="E38" s="24" t="s">
        <v>708</v>
      </c>
      <c r="F38" s="25" t="s">
        <v>709</v>
      </c>
      <c r="G38" s="26" t="s">
        <v>652</v>
      </c>
      <c r="H38" s="28" t="s">
        <v>129</v>
      </c>
      <c r="I38" s="28" t="s">
        <v>129</v>
      </c>
      <c r="J38" s="28" t="s">
        <v>160</v>
      </c>
      <c r="K38" s="100" t="s">
        <v>690</v>
      </c>
      <c r="L38" s="100"/>
      <c r="M38" s="100"/>
      <c r="N38" s="36">
        <v>0.3</v>
      </c>
      <c r="O38" s="37" t="e">
        <f t="shared" si="2"/>
        <v>#VALUE!</v>
      </c>
    </row>
    <row r="39" spans="1:15" ht="22.5" customHeight="1" x14ac:dyDescent="0.35">
      <c r="A39" s="38">
        <v>28</v>
      </c>
      <c r="B39" s="34" t="s">
        <v>710</v>
      </c>
      <c r="C39" s="22" t="s">
        <v>21</v>
      </c>
      <c r="D39" s="54" t="s">
        <v>711</v>
      </c>
      <c r="E39" s="40" t="s">
        <v>712</v>
      </c>
      <c r="F39" s="41" t="s">
        <v>713</v>
      </c>
      <c r="G39" s="26" t="s">
        <v>714</v>
      </c>
      <c r="H39" s="28" t="s">
        <v>225</v>
      </c>
      <c r="I39" s="28" t="s">
        <v>225</v>
      </c>
      <c r="J39" s="22" t="s">
        <v>160</v>
      </c>
      <c r="K39" s="100" t="s">
        <v>715</v>
      </c>
      <c r="L39" s="100"/>
      <c r="M39" s="100"/>
      <c r="N39" s="36">
        <v>0.3</v>
      </c>
      <c r="O39" s="37" t="e">
        <f t="shared" si="2"/>
        <v>#VALUE!</v>
      </c>
    </row>
    <row r="40" spans="1:15" ht="22.5" customHeight="1" x14ac:dyDescent="0.35">
      <c r="A40" s="39"/>
      <c r="B40" s="47" t="s">
        <v>716</v>
      </c>
      <c r="C40" s="35"/>
      <c r="D40" s="65"/>
      <c r="E40" s="65"/>
      <c r="F40" s="79"/>
      <c r="G40" s="39"/>
      <c r="H40" s="52"/>
      <c r="I40" s="52"/>
      <c r="J40" s="39"/>
      <c r="K40" s="159"/>
      <c r="L40" s="159"/>
      <c r="M40" s="159"/>
      <c r="N40" s="52"/>
      <c r="O40" s="53"/>
    </row>
    <row r="41" spans="1:15" ht="22.5" customHeight="1" x14ac:dyDescent="0.35">
      <c r="A41" s="36">
        <v>29</v>
      </c>
      <c r="B41" s="34" t="s">
        <v>717</v>
      </c>
      <c r="C41" s="63"/>
      <c r="D41" s="45">
        <v>2606005529</v>
      </c>
      <c r="E41" s="40" t="s">
        <v>718</v>
      </c>
      <c r="F41" s="41" t="s">
        <v>719</v>
      </c>
      <c r="G41" s="26" t="s">
        <v>628</v>
      </c>
      <c r="H41" s="28" t="s">
        <v>145</v>
      </c>
      <c r="I41" s="28" t="s">
        <v>27</v>
      </c>
      <c r="J41" s="28" t="s">
        <v>96</v>
      </c>
      <c r="K41" s="141" t="s">
        <v>720</v>
      </c>
      <c r="L41" s="141"/>
      <c r="M41" s="141">
        <v>0.2</v>
      </c>
      <c r="N41" s="36">
        <v>0.3</v>
      </c>
      <c r="O41" s="37" t="e">
        <f t="shared" ref="O41:O47" si="3">(K41+L41+M41)*2340000</f>
        <v>#VALUE!</v>
      </c>
    </row>
    <row r="42" spans="1:15" ht="22.5" customHeight="1" x14ac:dyDescent="0.35">
      <c r="A42" s="33">
        <v>30</v>
      </c>
      <c r="B42" s="34" t="s">
        <v>721</v>
      </c>
      <c r="C42" s="22" t="s">
        <v>21</v>
      </c>
      <c r="D42" s="54" t="s">
        <v>722</v>
      </c>
      <c r="E42" s="40" t="s">
        <v>723</v>
      </c>
      <c r="F42" s="41" t="s">
        <v>724</v>
      </c>
      <c r="G42" s="26" t="s">
        <v>725</v>
      </c>
      <c r="H42" s="28" t="s">
        <v>150</v>
      </c>
      <c r="I42" s="28" t="s">
        <v>27</v>
      </c>
      <c r="J42" s="22" t="s">
        <v>90</v>
      </c>
      <c r="K42" s="100" t="s">
        <v>726</v>
      </c>
      <c r="L42" s="100"/>
      <c r="M42" s="100"/>
      <c r="N42" s="36">
        <v>0.3</v>
      </c>
      <c r="O42" s="37" t="e">
        <f t="shared" si="3"/>
        <v>#VALUE!</v>
      </c>
    </row>
    <row r="43" spans="1:15" ht="22.5" customHeight="1" x14ac:dyDescent="0.35">
      <c r="A43" s="38">
        <v>31</v>
      </c>
      <c r="B43" s="34" t="s">
        <v>727</v>
      </c>
      <c r="C43" s="22" t="s">
        <v>21</v>
      </c>
      <c r="D43" s="45">
        <v>2605000299</v>
      </c>
      <c r="E43" s="40" t="s">
        <v>728</v>
      </c>
      <c r="F43" s="41" t="s">
        <v>729</v>
      </c>
      <c r="G43" s="26" t="s">
        <v>730</v>
      </c>
      <c r="H43" s="28" t="s">
        <v>225</v>
      </c>
      <c r="I43" s="28" t="s">
        <v>225</v>
      </c>
      <c r="J43" s="22" t="s">
        <v>160</v>
      </c>
      <c r="K43" s="100" t="s">
        <v>715</v>
      </c>
      <c r="L43" s="100"/>
      <c r="M43" s="100"/>
      <c r="N43" s="36">
        <v>0.3</v>
      </c>
      <c r="O43" s="37" t="e">
        <f t="shared" si="3"/>
        <v>#VALUE!</v>
      </c>
    </row>
    <row r="44" spans="1:15" ht="22.5" customHeight="1" x14ac:dyDescent="0.35">
      <c r="A44" s="36">
        <v>32</v>
      </c>
      <c r="B44" s="34" t="s">
        <v>731</v>
      </c>
      <c r="C44" s="22"/>
      <c r="D44" s="42">
        <v>2696022849</v>
      </c>
      <c r="E44" s="24" t="s">
        <v>732</v>
      </c>
      <c r="F44" s="25" t="s">
        <v>733</v>
      </c>
      <c r="G44" s="26" t="s">
        <v>734</v>
      </c>
      <c r="H44" s="28" t="s">
        <v>225</v>
      </c>
      <c r="I44" s="28" t="s">
        <v>225</v>
      </c>
      <c r="J44" s="22" t="s">
        <v>164</v>
      </c>
      <c r="K44" s="100" t="s">
        <v>622</v>
      </c>
      <c r="L44" s="100"/>
      <c r="M44" s="100"/>
      <c r="N44" s="36">
        <v>0.3</v>
      </c>
      <c r="O44" s="37" t="e">
        <f t="shared" si="3"/>
        <v>#VALUE!</v>
      </c>
    </row>
    <row r="45" spans="1:15" ht="22.5" customHeight="1" x14ac:dyDescent="0.35">
      <c r="A45" s="33">
        <v>33</v>
      </c>
      <c r="B45" s="34" t="s">
        <v>735</v>
      </c>
      <c r="C45" s="22"/>
      <c r="D45" s="42">
        <v>2696022865</v>
      </c>
      <c r="E45" s="24" t="s">
        <v>736</v>
      </c>
      <c r="F45" s="25" t="s">
        <v>737</v>
      </c>
      <c r="G45" s="26" t="s">
        <v>400</v>
      </c>
      <c r="H45" s="28" t="s">
        <v>136</v>
      </c>
      <c r="I45" s="28" t="s">
        <v>136</v>
      </c>
      <c r="J45" s="22" t="s">
        <v>164</v>
      </c>
      <c r="K45" s="100" t="s">
        <v>622</v>
      </c>
      <c r="L45" s="100"/>
      <c r="M45" s="100"/>
      <c r="N45" s="36">
        <v>0.3</v>
      </c>
      <c r="O45" s="37" t="e">
        <f t="shared" si="3"/>
        <v>#VALUE!</v>
      </c>
    </row>
    <row r="46" spans="1:15" ht="22.5" customHeight="1" x14ac:dyDescent="0.35">
      <c r="A46" s="38">
        <v>34</v>
      </c>
      <c r="B46" s="34" t="s">
        <v>738</v>
      </c>
      <c r="C46" s="63"/>
      <c r="D46" s="45">
        <v>2699040029</v>
      </c>
      <c r="E46" s="40" t="s">
        <v>739</v>
      </c>
      <c r="F46" s="41" t="s">
        <v>740</v>
      </c>
      <c r="G46" s="26" t="s">
        <v>741</v>
      </c>
      <c r="H46" s="28" t="s">
        <v>129</v>
      </c>
      <c r="I46" s="28" t="s">
        <v>129</v>
      </c>
      <c r="J46" s="28" t="s">
        <v>160</v>
      </c>
      <c r="K46" s="141" t="s">
        <v>690</v>
      </c>
      <c r="L46" s="141"/>
      <c r="M46" s="141"/>
      <c r="N46" s="36">
        <v>0.3</v>
      </c>
      <c r="O46" s="37" t="e">
        <f t="shared" si="3"/>
        <v>#VALUE!</v>
      </c>
    </row>
    <row r="47" spans="1:15" ht="22.5" customHeight="1" x14ac:dyDescent="0.35">
      <c r="A47" s="36">
        <v>35</v>
      </c>
      <c r="B47" s="34" t="s">
        <v>742</v>
      </c>
      <c r="C47" s="22" t="s">
        <v>21</v>
      </c>
      <c r="D47" s="45">
        <v>2605000298</v>
      </c>
      <c r="E47" s="40" t="s">
        <v>743</v>
      </c>
      <c r="F47" s="41" t="s">
        <v>744</v>
      </c>
      <c r="G47" s="26" t="s">
        <v>745</v>
      </c>
      <c r="H47" s="28" t="s">
        <v>136</v>
      </c>
      <c r="I47" s="28" t="s">
        <v>136</v>
      </c>
      <c r="J47" s="28" t="s">
        <v>160</v>
      </c>
      <c r="K47" s="100">
        <v>3.56</v>
      </c>
      <c r="L47" s="100"/>
      <c r="M47" s="100"/>
      <c r="N47" s="36">
        <v>0.3</v>
      </c>
      <c r="O47" s="37">
        <f t="shared" si="3"/>
        <v>8330400</v>
      </c>
    </row>
    <row r="48" spans="1:15" ht="22.5" customHeight="1" x14ac:dyDescent="0.35">
      <c r="A48" s="36"/>
      <c r="B48" s="47" t="s">
        <v>2039</v>
      </c>
      <c r="C48" s="22"/>
      <c r="D48" s="45"/>
      <c r="E48" s="45"/>
      <c r="F48" s="78"/>
      <c r="G48" s="38"/>
      <c r="H48" s="28"/>
      <c r="I48" s="28"/>
      <c r="J48" s="36"/>
      <c r="K48" s="100"/>
      <c r="L48" s="100"/>
      <c r="M48" s="100"/>
      <c r="N48" s="36"/>
      <c r="O48" s="37"/>
    </row>
    <row r="49" spans="1:15" ht="22.5" customHeight="1" x14ac:dyDescent="0.35">
      <c r="A49" s="33">
        <v>36</v>
      </c>
      <c r="B49" s="34" t="s">
        <v>746</v>
      </c>
      <c r="C49" s="63"/>
      <c r="D49" s="45">
        <v>2607003425</v>
      </c>
      <c r="E49" s="40" t="s">
        <v>747</v>
      </c>
      <c r="F49" s="41" t="s">
        <v>748</v>
      </c>
      <c r="G49" s="26" t="s">
        <v>698</v>
      </c>
      <c r="H49" s="28" t="s">
        <v>145</v>
      </c>
      <c r="I49" s="28" t="s">
        <v>27</v>
      </c>
      <c r="J49" s="28" t="s">
        <v>96</v>
      </c>
      <c r="K49" s="141" t="s">
        <v>720</v>
      </c>
      <c r="L49" s="141"/>
      <c r="M49" s="141">
        <v>0.2</v>
      </c>
      <c r="N49" s="36">
        <v>0.3</v>
      </c>
      <c r="O49" s="37" t="e">
        <f t="shared" ref="O49:O64" si="4">(K49+L49+M49)*2340000</f>
        <v>#VALUE!</v>
      </c>
    </row>
    <row r="50" spans="1:15" ht="22.5" customHeight="1" x14ac:dyDescent="0.35">
      <c r="A50" s="38">
        <v>37</v>
      </c>
      <c r="B50" s="34" t="s">
        <v>749</v>
      </c>
      <c r="C50" s="63"/>
      <c r="D50" s="45">
        <v>2605000294</v>
      </c>
      <c r="E50" s="40" t="s">
        <v>750</v>
      </c>
      <c r="F50" s="41" t="s">
        <v>751</v>
      </c>
      <c r="G50" s="26" t="s">
        <v>752</v>
      </c>
      <c r="H50" s="28" t="s">
        <v>150</v>
      </c>
      <c r="I50" s="28" t="s">
        <v>27</v>
      </c>
      <c r="J50" s="28" t="s">
        <v>96</v>
      </c>
      <c r="K50" s="141" t="s">
        <v>720</v>
      </c>
      <c r="L50" s="141"/>
      <c r="M50" s="141"/>
      <c r="N50" s="36">
        <v>0.3</v>
      </c>
      <c r="O50" s="37" t="e">
        <f t="shared" si="4"/>
        <v>#VALUE!</v>
      </c>
    </row>
    <row r="51" spans="1:15" ht="22.5" customHeight="1" x14ac:dyDescent="0.35">
      <c r="A51" s="36">
        <v>38</v>
      </c>
      <c r="B51" s="34" t="s">
        <v>753</v>
      </c>
      <c r="C51" s="22"/>
      <c r="D51" s="23" t="s">
        <v>754</v>
      </c>
      <c r="E51" s="24">
        <v>30385</v>
      </c>
      <c r="F51" s="25" t="s">
        <v>755</v>
      </c>
      <c r="G51" s="26" t="s">
        <v>756</v>
      </c>
      <c r="H51" s="28" t="s">
        <v>150</v>
      </c>
      <c r="I51" s="28" t="s">
        <v>757</v>
      </c>
      <c r="J51" s="22" t="s">
        <v>155</v>
      </c>
      <c r="K51" s="100" t="s">
        <v>758</v>
      </c>
      <c r="L51" s="100"/>
      <c r="M51" s="100"/>
      <c r="N51" s="36">
        <v>0.3</v>
      </c>
      <c r="O51" s="37" t="e">
        <f t="shared" si="4"/>
        <v>#VALUE!</v>
      </c>
    </row>
    <row r="52" spans="1:15" ht="22.5" customHeight="1" x14ac:dyDescent="0.35">
      <c r="A52" s="33">
        <v>39</v>
      </c>
      <c r="B52" s="34" t="s">
        <v>759</v>
      </c>
      <c r="C52" s="63"/>
      <c r="D52" s="54" t="s">
        <v>760</v>
      </c>
      <c r="E52" s="40" t="s">
        <v>761</v>
      </c>
      <c r="F52" s="41" t="s">
        <v>762</v>
      </c>
      <c r="G52" s="26" t="s">
        <v>245</v>
      </c>
      <c r="H52" s="28" t="s">
        <v>272</v>
      </c>
      <c r="I52" s="28" t="s">
        <v>225</v>
      </c>
      <c r="J52" s="28" t="s">
        <v>164</v>
      </c>
      <c r="K52" s="141" t="s">
        <v>676</v>
      </c>
      <c r="L52" s="141"/>
      <c r="M52" s="141">
        <v>0.1</v>
      </c>
      <c r="N52" s="36">
        <v>0.3</v>
      </c>
      <c r="O52" s="37" t="e">
        <f t="shared" si="4"/>
        <v>#VALUE!</v>
      </c>
    </row>
    <row r="53" spans="1:15" ht="22.5" customHeight="1" x14ac:dyDescent="0.35">
      <c r="A53" s="38">
        <v>40</v>
      </c>
      <c r="B53" s="34" t="s">
        <v>763</v>
      </c>
      <c r="C53" s="22" t="s">
        <v>21</v>
      </c>
      <c r="D53" s="54" t="s">
        <v>764</v>
      </c>
      <c r="E53" s="40" t="s">
        <v>765</v>
      </c>
      <c r="F53" s="41" t="s">
        <v>766</v>
      </c>
      <c r="G53" s="26" t="s">
        <v>479</v>
      </c>
      <c r="H53" s="28" t="s">
        <v>225</v>
      </c>
      <c r="I53" s="28" t="s">
        <v>225</v>
      </c>
      <c r="J53" s="22" t="s">
        <v>160</v>
      </c>
      <c r="K53" s="100" t="s">
        <v>715</v>
      </c>
      <c r="L53" s="100"/>
      <c r="M53" s="100"/>
      <c r="N53" s="36">
        <v>0.3</v>
      </c>
      <c r="O53" s="37" t="e">
        <f t="shared" si="4"/>
        <v>#VALUE!</v>
      </c>
    </row>
    <row r="54" spans="1:15" ht="22.5" customHeight="1" x14ac:dyDescent="0.35">
      <c r="A54" s="36">
        <v>41</v>
      </c>
      <c r="B54" s="34" t="s">
        <v>767</v>
      </c>
      <c r="C54" s="63"/>
      <c r="D54" s="54" t="s">
        <v>768</v>
      </c>
      <c r="E54" s="40" t="s">
        <v>769</v>
      </c>
      <c r="F54" s="41" t="s">
        <v>770</v>
      </c>
      <c r="G54" s="26" t="s">
        <v>771</v>
      </c>
      <c r="H54" s="28" t="s">
        <v>225</v>
      </c>
      <c r="I54" s="28" t="s">
        <v>225</v>
      </c>
      <c r="J54" s="22" t="s">
        <v>160</v>
      </c>
      <c r="K54" s="100" t="s">
        <v>715</v>
      </c>
      <c r="L54" s="100"/>
      <c r="M54" s="100"/>
      <c r="N54" s="36">
        <v>0.3</v>
      </c>
      <c r="O54" s="37" t="e">
        <f t="shared" si="4"/>
        <v>#VALUE!</v>
      </c>
    </row>
    <row r="55" spans="1:15" ht="22.5" customHeight="1" x14ac:dyDescent="0.35">
      <c r="A55" s="33">
        <v>42</v>
      </c>
      <c r="B55" s="34" t="s">
        <v>772</v>
      </c>
      <c r="C55" s="22" t="s">
        <v>21</v>
      </c>
      <c r="D55" s="54" t="s">
        <v>773</v>
      </c>
      <c r="E55" s="40" t="s">
        <v>774</v>
      </c>
      <c r="F55" s="41" t="s">
        <v>775</v>
      </c>
      <c r="G55" s="26" t="s">
        <v>453</v>
      </c>
      <c r="H55" s="28" t="s">
        <v>225</v>
      </c>
      <c r="I55" s="28" t="s">
        <v>225</v>
      </c>
      <c r="J55" s="22" t="s">
        <v>160</v>
      </c>
      <c r="K55" s="100" t="s">
        <v>715</v>
      </c>
      <c r="L55" s="100"/>
      <c r="M55" s="100"/>
      <c r="N55" s="36">
        <v>0.3</v>
      </c>
      <c r="O55" s="37" t="e">
        <f t="shared" si="4"/>
        <v>#VALUE!</v>
      </c>
    </row>
    <row r="56" spans="1:15" ht="22.5" customHeight="1" x14ac:dyDescent="0.35">
      <c r="A56" s="38">
        <v>43</v>
      </c>
      <c r="B56" s="34" t="s">
        <v>776</v>
      </c>
      <c r="C56" s="22"/>
      <c r="D56" s="42">
        <v>2607002126</v>
      </c>
      <c r="E56" s="24" t="s">
        <v>777</v>
      </c>
      <c r="F56" s="25" t="s">
        <v>778</v>
      </c>
      <c r="G56" s="26" t="s">
        <v>628</v>
      </c>
      <c r="H56" s="28" t="s">
        <v>136</v>
      </c>
      <c r="I56" s="28" t="s">
        <v>136</v>
      </c>
      <c r="J56" s="28" t="s">
        <v>160</v>
      </c>
      <c r="K56" s="100">
        <v>3.56</v>
      </c>
      <c r="L56" s="100"/>
      <c r="M56" s="100"/>
      <c r="N56" s="36">
        <v>0.3</v>
      </c>
      <c r="O56" s="37">
        <f t="shared" si="4"/>
        <v>8330400</v>
      </c>
    </row>
    <row r="57" spans="1:15" ht="22.5" customHeight="1" x14ac:dyDescent="0.35">
      <c r="A57" s="36">
        <v>44</v>
      </c>
      <c r="B57" s="34" t="s">
        <v>779</v>
      </c>
      <c r="C57" s="28" t="s">
        <v>21</v>
      </c>
      <c r="D57" s="45">
        <v>2603001987</v>
      </c>
      <c r="E57" s="40" t="s">
        <v>780</v>
      </c>
      <c r="F57" s="41" t="s">
        <v>781</v>
      </c>
      <c r="G57" s="26" t="s">
        <v>782</v>
      </c>
      <c r="H57" s="28" t="s">
        <v>225</v>
      </c>
      <c r="I57" s="28" t="s">
        <v>225</v>
      </c>
      <c r="J57" s="22" t="s">
        <v>160</v>
      </c>
      <c r="K57" s="100" t="s">
        <v>715</v>
      </c>
      <c r="L57" s="100"/>
      <c r="M57" s="100"/>
      <c r="N57" s="36">
        <v>0.3</v>
      </c>
      <c r="O57" s="37" t="e">
        <f t="shared" si="4"/>
        <v>#VALUE!</v>
      </c>
    </row>
    <row r="58" spans="1:15" ht="22.5" customHeight="1" x14ac:dyDescent="0.35">
      <c r="A58" s="33">
        <v>45</v>
      </c>
      <c r="B58" s="34" t="s">
        <v>783</v>
      </c>
      <c r="C58" s="22"/>
      <c r="D58" s="23" t="s">
        <v>784</v>
      </c>
      <c r="E58" s="40" t="s">
        <v>785</v>
      </c>
      <c r="F58" s="41" t="s">
        <v>786</v>
      </c>
      <c r="G58" s="26" t="s">
        <v>787</v>
      </c>
      <c r="H58" s="28" t="s">
        <v>136</v>
      </c>
      <c r="I58" s="28" t="s">
        <v>136</v>
      </c>
      <c r="J58" s="28" t="s">
        <v>130</v>
      </c>
      <c r="K58" s="141">
        <v>3.01</v>
      </c>
      <c r="L58" s="100"/>
      <c r="M58" s="100"/>
      <c r="N58" s="36">
        <v>0.3</v>
      </c>
      <c r="O58" s="37">
        <f t="shared" si="4"/>
        <v>7043399.9999999991</v>
      </c>
    </row>
    <row r="59" spans="1:15" ht="22.5" customHeight="1" x14ac:dyDescent="0.35">
      <c r="A59" s="38">
        <v>46</v>
      </c>
      <c r="B59" s="34" t="s">
        <v>788</v>
      </c>
      <c r="C59" s="63"/>
      <c r="D59" s="54" t="s">
        <v>789</v>
      </c>
      <c r="E59" s="40" t="s">
        <v>790</v>
      </c>
      <c r="F59" s="41" t="s">
        <v>791</v>
      </c>
      <c r="G59" s="26" t="s">
        <v>209</v>
      </c>
      <c r="H59" s="28" t="s">
        <v>129</v>
      </c>
      <c r="I59" s="28" t="s">
        <v>129</v>
      </c>
      <c r="J59" s="22" t="s">
        <v>160</v>
      </c>
      <c r="K59" s="100" t="s">
        <v>690</v>
      </c>
      <c r="L59" s="141"/>
      <c r="M59" s="141"/>
      <c r="N59" s="36">
        <v>0.3</v>
      </c>
      <c r="O59" s="37" t="e">
        <f t="shared" si="4"/>
        <v>#VALUE!</v>
      </c>
    </row>
    <row r="60" spans="1:15" ht="22.5" customHeight="1" x14ac:dyDescent="0.35">
      <c r="A60" s="36">
        <v>47</v>
      </c>
      <c r="B60" s="34" t="s">
        <v>792</v>
      </c>
      <c r="C60" s="22"/>
      <c r="D60" s="23" t="s">
        <v>793</v>
      </c>
      <c r="E60" s="24" t="s">
        <v>794</v>
      </c>
      <c r="F60" s="25" t="s">
        <v>795</v>
      </c>
      <c r="G60" s="26" t="s">
        <v>796</v>
      </c>
      <c r="H60" s="28" t="s">
        <v>225</v>
      </c>
      <c r="I60" s="28" t="s">
        <v>225</v>
      </c>
      <c r="J60" s="22" t="s">
        <v>160</v>
      </c>
      <c r="K60" s="100" t="s">
        <v>715</v>
      </c>
      <c r="L60" s="100"/>
      <c r="M60" s="100"/>
      <c r="N60" s="36">
        <v>0.3</v>
      </c>
      <c r="O60" s="37" t="e">
        <f t="shared" si="4"/>
        <v>#VALUE!</v>
      </c>
    </row>
    <row r="61" spans="1:15" ht="22.5" customHeight="1" x14ac:dyDescent="0.35">
      <c r="A61" s="33">
        <v>48</v>
      </c>
      <c r="B61" s="34" t="s">
        <v>797</v>
      </c>
      <c r="C61" s="22"/>
      <c r="D61" s="42">
        <v>3412005426</v>
      </c>
      <c r="E61" s="40" t="s">
        <v>798</v>
      </c>
      <c r="F61" s="41" t="s">
        <v>799</v>
      </c>
      <c r="G61" s="26" t="s">
        <v>363</v>
      </c>
      <c r="H61" s="28" t="s">
        <v>225</v>
      </c>
      <c r="I61" s="28" t="s">
        <v>225</v>
      </c>
      <c r="J61" s="28" t="s">
        <v>130</v>
      </c>
      <c r="K61" s="100" t="s">
        <v>800</v>
      </c>
      <c r="L61" s="100"/>
      <c r="M61" s="100"/>
      <c r="N61" s="36">
        <v>0.3</v>
      </c>
      <c r="O61" s="37" t="e">
        <f t="shared" si="4"/>
        <v>#VALUE!</v>
      </c>
    </row>
    <row r="62" spans="1:15" ht="22.5" customHeight="1" x14ac:dyDescent="0.35">
      <c r="A62" s="38">
        <v>49</v>
      </c>
      <c r="B62" s="34" t="s">
        <v>801</v>
      </c>
      <c r="C62" s="22"/>
      <c r="D62" s="23" t="s">
        <v>802</v>
      </c>
      <c r="E62" s="24" t="s">
        <v>803</v>
      </c>
      <c r="F62" s="25" t="s">
        <v>804</v>
      </c>
      <c r="G62" s="26" t="s">
        <v>805</v>
      </c>
      <c r="H62" s="28" t="s">
        <v>225</v>
      </c>
      <c r="I62" s="28" t="s">
        <v>225</v>
      </c>
      <c r="J62" s="22" t="s">
        <v>137</v>
      </c>
      <c r="K62" s="100" t="s">
        <v>806</v>
      </c>
      <c r="L62" s="100"/>
      <c r="M62" s="100"/>
      <c r="N62" s="36">
        <v>0.3</v>
      </c>
      <c r="O62" s="37" t="e">
        <f t="shared" si="4"/>
        <v>#VALUE!</v>
      </c>
    </row>
    <row r="63" spans="1:15" ht="22.5" customHeight="1" x14ac:dyDescent="0.35">
      <c r="A63" s="36">
        <v>50</v>
      </c>
      <c r="B63" s="34" t="s">
        <v>807</v>
      </c>
      <c r="C63" s="22" t="s">
        <v>21</v>
      </c>
      <c r="D63" s="45">
        <v>2601002452</v>
      </c>
      <c r="E63" s="40" t="s">
        <v>808</v>
      </c>
      <c r="F63" s="41" t="s">
        <v>809</v>
      </c>
      <c r="G63" s="26" t="s">
        <v>810</v>
      </c>
      <c r="H63" s="28" t="s">
        <v>136</v>
      </c>
      <c r="I63" s="28" t="s">
        <v>136</v>
      </c>
      <c r="J63" s="28" t="s">
        <v>160</v>
      </c>
      <c r="K63" s="100">
        <v>3.56</v>
      </c>
      <c r="L63" s="141"/>
      <c r="M63" s="141"/>
      <c r="N63" s="36">
        <v>0.3</v>
      </c>
      <c r="O63" s="37">
        <f t="shared" si="4"/>
        <v>8330400</v>
      </c>
    </row>
    <row r="64" spans="1:15" ht="22.5" customHeight="1" x14ac:dyDescent="0.35">
      <c r="A64" s="33">
        <v>51</v>
      </c>
      <c r="B64" s="34" t="s">
        <v>811</v>
      </c>
      <c r="C64" s="22" t="s">
        <v>21</v>
      </c>
      <c r="D64" s="54" t="s">
        <v>812</v>
      </c>
      <c r="E64" s="40" t="s">
        <v>813</v>
      </c>
      <c r="F64" s="41" t="s">
        <v>814</v>
      </c>
      <c r="G64" s="26" t="s">
        <v>815</v>
      </c>
      <c r="H64" s="28" t="s">
        <v>136</v>
      </c>
      <c r="I64" s="28" t="s">
        <v>49</v>
      </c>
      <c r="J64" s="28" t="s">
        <v>50</v>
      </c>
      <c r="K64" s="141" t="s">
        <v>654</v>
      </c>
      <c r="L64" s="141"/>
      <c r="M64" s="141"/>
      <c r="N64" s="36">
        <v>0.3</v>
      </c>
      <c r="O64" s="37" t="e">
        <f t="shared" si="4"/>
        <v>#VALUE!</v>
      </c>
    </row>
    <row r="65" spans="1:15" ht="22.5" customHeight="1" x14ac:dyDescent="0.35">
      <c r="A65" s="46"/>
      <c r="B65" s="47" t="s">
        <v>816</v>
      </c>
      <c r="C65" s="35"/>
      <c r="D65" s="65"/>
      <c r="E65" s="65"/>
      <c r="F65" s="79"/>
      <c r="G65" s="39"/>
      <c r="H65" s="52"/>
      <c r="I65" s="52"/>
      <c r="J65" s="52"/>
      <c r="K65" s="160"/>
      <c r="L65" s="160"/>
      <c r="M65" s="160"/>
      <c r="N65" s="52"/>
      <c r="O65" s="53"/>
    </row>
    <row r="66" spans="1:15" ht="22.5" customHeight="1" x14ac:dyDescent="0.35">
      <c r="A66" s="38">
        <v>52</v>
      </c>
      <c r="B66" s="34" t="s">
        <v>817</v>
      </c>
      <c r="C66" s="63"/>
      <c r="D66" s="54" t="s">
        <v>818</v>
      </c>
      <c r="E66" s="40" t="s">
        <v>819</v>
      </c>
      <c r="F66" s="41" t="s">
        <v>820</v>
      </c>
      <c r="G66" s="26" t="s">
        <v>821</v>
      </c>
      <c r="H66" s="28" t="s">
        <v>145</v>
      </c>
      <c r="I66" s="28" t="s">
        <v>27</v>
      </c>
      <c r="J66" s="28" t="s">
        <v>50</v>
      </c>
      <c r="K66" s="141" t="s">
        <v>654</v>
      </c>
      <c r="L66" s="141"/>
      <c r="M66" s="141">
        <v>0.2</v>
      </c>
      <c r="N66" s="36">
        <v>0.3</v>
      </c>
      <c r="O66" s="37" t="e">
        <f t="shared" ref="O66:O84" si="5">(K66+L66+M66)*2340000</f>
        <v>#VALUE!</v>
      </c>
    </row>
    <row r="67" spans="1:15" ht="22.5" customHeight="1" x14ac:dyDescent="0.35">
      <c r="A67" s="36">
        <v>53</v>
      </c>
      <c r="B67" s="34" t="s">
        <v>822</v>
      </c>
      <c r="C67" s="63"/>
      <c r="D67" s="45">
        <v>2601002450</v>
      </c>
      <c r="E67" s="40" t="s">
        <v>823</v>
      </c>
      <c r="F67" s="41" t="s">
        <v>824</v>
      </c>
      <c r="G67" s="26" t="s">
        <v>825</v>
      </c>
      <c r="H67" s="28" t="s">
        <v>150</v>
      </c>
      <c r="I67" s="28" t="s">
        <v>27</v>
      </c>
      <c r="J67" s="28" t="s">
        <v>43</v>
      </c>
      <c r="K67" s="141" t="s">
        <v>604</v>
      </c>
      <c r="L67" s="141"/>
      <c r="M67" s="141"/>
      <c r="N67" s="36">
        <v>0.3</v>
      </c>
      <c r="O67" s="37" t="e">
        <f t="shared" si="5"/>
        <v>#VALUE!</v>
      </c>
    </row>
    <row r="68" spans="1:15" ht="22.5" customHeight="1" x14ac:dyDescent="0.35">
      <c r="A68" s="33">
        <v>54</v>
      </c>
      <c r="B68" s="34" t="s">
        <v>826</v>
      </c>
      <c r="C68" s="22"/>
      <c r="D68" s="45">
        <v>3415000842</v>
      </c>
      <c r="E68" s="40" t="s">
        <v>827</v>
      </c>
      <c r="F68" s="41" t="s">
        <v>828</v>
      </c>
      <c r="G68" s="26" t="s">
        <v>829</v>
      </c>
      <c r="H68" s="28" t="s">
        <v>150</v>
      </c>
      <c r="I68" s="28" t="s">
        <v>27</v>
      </c>
      <c r="J68" s="22" t="s">
        <v>63</v>
      </c>
      <c r="K68" s="100" t="s">
        <v>830</v>
      </c>
      <c r="L68" s="100"/>
      <c r="M68" s="100"/>
      <c r="N68" s="36">
        <v>0.3</v>
      </c>
      <c r="O68" s="37" t="e">
        <f t="shared" si="5"/>
        <v>#VALUE!</v>
      </c>
    </row>
    <row r="69" spans="1:15" ht="22.5" customHeight="1" x14ac:dyDescent="0.35">
      <c r="A69" s="38">
        <v>55</v>
      </c>
      <c r="B69" s="34" t="s">
        <v>831</v>
      </c>
      <c r="C69" s="63"/>
      <c r="D69" s="45">
        <v>2699040030</v>
      </c>
      <c r="E69" s="40" t="s">
        <v>832</v>
      </c>
      <c r="F69" s="41" t="s">
        <v>833</v>
      </c>
      <c r="G69" s="26" t="s">
        <v>688</v>
      </c>
      <c r="H69" s="28" t="s">
        <v>272</v>
      </c>
      <c r="I69" s="28" t="s">
        <v>225</v>
      </c>
      <c r="J69" s="28" t="s">
        <v>160</v>
      </c>
      <c r="K69" s="141" t="s">
        <v>715</v>
      </c>
      <c r="L69" s="141"/>
      <c r="M69" s="141">
        <v>0.1</v>
      </c>
      <c r="N69" s="36">
        <v>0.3</v>
      </c>
      <c r="O69" s="37" t="e">
        <f t="shared" si="5"/>
        <v>#VALUE!</v>
      </c>
    </row>
    <row r="70" spans="1:15" ht="22.5" customHeight="1" x14ac:dyDescent="0.35">
      <c r="A70" s="36">
        <v>56</v>
      </c>
      <c r="B70" s="34" t="s">
        <v>834</v>
      </c>
      <c r="C70" s="22" t="s">
        <v>21</v>
      </c>
      <c r="D70" s="54" t="s">
        <v>835</v>
      </c>
      <c r="E70" s="40" t="s">
        <v>836</v>
      </c>
      <c r="F70" s="41" t="s">
        <v>837</v>
      </c>
      <c r="G70" s="26" t="s">
        <v>595</v>
      </c>
      <c r="H70" s="28" t="s">
        <v>225</v>
      </c>
      <c r="I70" s="28" t="s">
        <v>225</v>
      </c>
      <c r="J70" s="22" t="s">
        <v>164</v>
      </c>
      <c r="K70" s="100" t="s">
        <v>622</v>
      </c>
      <c r="L70" s="100"/>
      <c r="M70" s="100"/>
      <c r="N70" s="36">
        <v>0.3</v>
      </c>
      <c r="O70" s="37" t="e">
        <f t="shared" si="5"/>
        <v>#VALUE!</v>
      </c>
    </row>
    <row r="71" spans="1:15" ht="22.5" customHeight="1" x14ac:dyDescent="0.35">
      <c r="A71" s="33">
        <v>57</v>
      </c>
      <c r="B71" s="34" t="s">
        <v>838</v>
      </c>
      <c r="C71" s="22" t="s">
        <v>21</v>
      </c>
      <c r="D71" s="54" t="s">
        <v>839</v>
      </c>
      <c r="E71" s="40" t="s">
        <v>840</v>
      </c>
      <c r="F71" s="41" t="s">
        <v>841</v>
      </c>
      <c r="G71" s="26" t="s">
        <v>842</v>
      </c>
      <c r="H71" s="28" t="s">
        <v>136</v>
      </c>
      <c r="I71" s="28" t="s">
        <v>225</v>
      </c>
      <c r="J71" s="28" t="s">
        <v>160</v>
      </c>
      <c r="K71" s="141" t="s">
        <v>715</v>
      </c>
      <c r="L71" s="141"/>
      <c r="M71" s="141"/>
      <c r="N71" s="36">
        <v>0.3</v>
      </c>
      <c r="O71" s="37" t="e">
        <f t="shared" si="5"/>
        <v>#VALUE!</v>
      </c>
    </row>
    <row r="72" spans="1:15" ht="22.5" customHeight="1" x14ac:dyDescent="0.35">
      <c r="A72" s="38">
        <v>58</v>
      </c>
      <c r="B72" s="34" t="s">
        <v>843</v>
      </c>
      <c r="C72" s="22" t="s">
        <v>21</v>
      </c>
      <c r="D72" s="54" t="s">
        <v>844</v>
      </c>
      <c r="E72" s="40" t="s">
        <v>845</v>
      </c>
      <c r="F72" s="41" t="s">
        <v>846</v>
      </c>
      <c r="G72" s="26" t="s">
        <v>782</v>
      </c>
      <c r="H72" s="28" t="s">
        <v>225</v>
      </c>
      <c r="I72" s="28" t="s">
        <v>225</v>
      </c>
      <c r="J72" s="28" t="s">
        <v>160</v>
      </c>
      <c r="K72" s="100" t="s">
        <v>715</v>
      </c>
      <c r="L72" s="100"/>
      <c r="M72" s="100"/>
      <c r="N72" s="36">
        <v>0.3</v>
      </c>
      <c r="O72" s="37" t="e">
        <f t="shared" si="5"/>
        <v>#VALUE!</v>
      </c>
    </row>
    <row r="73" spans="1:15" ht="22.5" customHeight="1" x14ac:dyDescent="0.35">
      <c r="A73" s="36">
        <v>59</v>
      </c>
      <c r="B73" s="34" t="s">
        <v>847</v>
      </c>
      <c r="C73" s="22"/>
      <c r="D73" s="42">
        <v>3411006381</v>
      </c>
      <c r="E73" s="40" t="s">
        <v>848</v>
      </c>
      <c r="F73" s="41" t="s">
        <v>849</v>
      </c>
      <c r="G73" s="26" t="s">
        <v>787</v>
      </c>
      <c r="H73" s="28" t="s">
        <v>689</v>
      </c>
      <c r="I73" s="28" t="s">
        <v>689</v>
      </c>
      <c r="J73" s="28" t="s">
        <v>130</v>
      </c>
      <c r="K73" s="100" t="s">
        <v>800</v>
      </c>
      <c r="L73" s="100"/>
      <c r="M73" s="100"/>
      <c r="N73" s="36">
        <v>0.3</v>
      </c>
      <c r="O73" s="37" t="e">
        <f t="shared" si="5"/>
        <v>#VALUE!</v>
      </c>
    </row>
    <row r="74" spans="1:15" ht="22.5" customHeight="1" x14ac:dyDescent="0.35">
      <c r="A74" s="33">
        <v>60</v>
      </c>
      <c r="B74" s="34" t="s">
        <v>850</v>
      </c>
      <c r="C74" s="22"/>
      <c r="D74" s="23" t="s">
        <v>851</v>
      </c>
      <c r="E74" s="24" t="s">
        <v>852</v>
      </c>
      <c r="F74" s="25" t="s">
        <v>853</v>
      </c>
      <c r="G74" s="26" t="s">
        <v>854</v>
      </c>
      <c r="H74" s="28" t="s">
        <v>136</v>
      </c>
      <c r="I74" s="28" t="s">
        <v>136</v>
      </c>
      <c r="J74" s="22" t="s">
        <v>175</v>
      </c>
      <c r="K74" s="100">
        <v>2.5499999999999998</v>
      </c>
      <c r="L74" s="100"/>
      <c r="M74" s="100"/>
      <c r="N74" s="36">
        <v>0.3</v>
      </c>
      <c r="O74" s="37">
        <f t="shared" si="5"/>
        <v>5967000</v>
      </c>
    </row>
    <row r="75" spans="1:15" ht="22.5" customHeight="1" x14ac:dyDescent="0.35">
      <c r="A75" s="38">
        <v>61</v>
      </c>
      <c r="B75" s="34" t="s">
        <v>855</v>
      </c>
      <c r="C75" s="22" t="s">
        <v>21</v>
      </c>
      <c r="D75" s="23" t="s">
        <v>856</v>
      </c>
      <c r="E75" s="24" t="s">
        <v>857</v>
      </c>
      <c r="F75" s="25" t="s">
        <v>858</v>
      </c>
      <c r="G75" s="26" t="s">
        <v>854</v>
      </c>
      <c r="H75" s="28" t="s">
        <v>136</v>
      </c>
      <c r="I75" s="28" t="s">
        <v>136</v>
      </c>
      <c r="J75" s="22" t="s">
        <v>137</v>
      </c>
      <c r="K75" s="100" t="s">
        <v>667</v>
      </c>
      <c r="L75" s="100"/>
      <c r="M75" s="100"/>
      <c r="N75" s="36">
        <v>0.3</v>
      </c>
      <c r="O75" s="37" t="e">
        <f t="shared" si="5"/>
        <v>#VALUE!</v>
      </c>
    </row>
    <row r="76" spans="1:15" ht="22.5" customHeight="1" x14ac:dyDescent="0.35">
      <c r="A76" s="36">
        <v>62</v>
      </c>
      <c r="B76" s="34" t="s">
        <v>859</v>
      </c>
      <c r="C76" s="28"/>
      <c r="D76" s="42">
        <v>2696002865</v>
      </c>
      <c r="E76" s="24" t="s">
        <v>860</v>
      </c>
      <c r="F76" s="25" t="s">
        <v>861</v>
      </c>
      <c r="G76" s="26" t="s">
        <v>684</v>
      </c>
      <c r="H76" s="28" t="s">
        <v>129</v>
      </c>
      <c r="I76" s="28" t="s">
        <v>129</v>
      </c>
      <c r="J76" s="28" t="s">
        <v>164</v>
      </c>
      <c r="K76" s="141" t="s">
        <v>676</v>
      </c>
      <c r="L76" s="141"/>
      <c r="M76" s="141"/>
      <c r="N76" s="36">
        <v>0.3</v>
      </c>
      <c r="O76" s="37" t="e">
        <f t="shared" si="5"/>
        <v>#VALUE!</v>
      </c>
    </row>
    <row r="77" spans="1:15" ht="22.5" customHeight="1" x14ac:dyDescent="0.35">
      <c r="A77" s="33">
        <v>63</v>
      </c>
      <c r="B77" s="34" t="s">
        <v>862</v>
      </c>
      <c r="C77" s="22" t="s">
        <v>21</v>
      </c>
      <c r="D77" s="45">
        <v>2607003427</v>
      </c>
      <c r="E77" s="40" t="s">
        <v>863</v>
      </c>
      <c r="F77" s="41" t="s">
        <v>864</v>
      </c>
      <c r="G77" s="26" t="s">
        <v>698</v>
      </c>
      <c r="H77" s="28" t="s">
        <v>136</v>
      </c>
      <c r="I77" s="28" t="s">
        <v>136</v>
      </c>
      <c r="J77" s="28" t="s">
        <v>160</v>
      </c>
      <c r="K77" s="100">
        <v>3.56</v>
      </c>
      <c r="L77" s="100"/>
      <c r="M77" s="100"/>
      <c r="N77" s="36">
        <v>0.3</v>
      </c>
      <c r="O77" s="37">
        <f t="shared" si="5"/>
        <v>8330400</v>
      </c>
    </row>
    <row r="78" spans="1:15" ht="22.5" customHeight="1" x14ac:dyDescent="0.35">
      <c r="A78" s="38">
        <v>64</v>
      </c>
      <c r="B78" s="34" t="s">
        <v>865</v>
      </c>
      <c r="C78" s="22"/>
      <c r="D78" s="23" t="s">
        <v>866</v>
      </c>
      <c r="E78" s="24" t="s">
        <v>867</v>
      </c>
      <c r="F78" s="25" t="s">
        <v>868</v>
      </c>
      <c r="G78" s="26" t="s">
        <v>805</v>
      </c>
      <c r="H78" s="28" t="s">
        <v>136</v>
      </c>
      <c r="I78" s="28" t="s">
        <v>136</v>
      </c>
      <c r="J78" s="22" t="s">
        <v>137</v>
      </c>
      <c r="K78" s="100">
        <v>2.16</v>
      </c>
      <c r="L78" s="100"/>
      <c r="M78" s="100"/>
      <c r="N78" s="36">
        <v>0.3</v>
      </c>
      <c r="O78" s="37">
        <f t="shared" si="5"/>
        <v>5054400</v>
      </c>
    </row>
    <row r="79" spans="1:15" ht="22.5" customHeight="1" x14ac:dyDescent="0.35">
      <c r="A79" s="36">
        <v>65</v>
      </c>
      <c r="B79" s="34" t="s">
        <v>869</v>
      </c>
      <c r="C79" s="22"/>
      <c r="D79" s="23" t="s">
        <v>870</v>
      </c>
      <c r="E79" s="24" t="s">
        <v>871</v>
      </c>
      <c r="F79" s="25" t="s">
        <v>872</v>
      </c>
      <c r="G79" s="26" t="s">
        <v>311</v>
      </c>
      <c r="H79" s="28" t="s">
        <v>136</v>
      </c>
      <c r="I79" s="28" t="s">
        <v>136</v>
      </c>
      <c r="J79" s="22" t="s">
        <v>190</v>
      </c>
      <c r="K79" s="100">
        <v>1.83</v>
      </c>
      <c r="L79" s="100"/>
      <c r="M79" s="100"/>
      <c r="N79" s="36">
        <v>0.3</v>
      </c>
      <c r="O79" s="37">
        <f t="shared" si="5"/>
        <v>4282200</v>
      </c>
    </row>
    <row r="80" spans="1:15" ht="22.5" customHeight="1" x14ac:dyDescent="0.35">
      <c r="A80" s="33">
        <v>66</v>
      </c>
      <c r="B80" s="34" t="s">
        <v>873</v>
      </c>
      <c r="C80" s="63"/>
      <c r="D80" s="54" t="s">
        <v>874</v>
      </c>
      <c r="E80" s="40" t="s">
        <v>875</v>
      </c>
      <c r="F80" s="41" t="s">
        <v>876</v>
      </c>
      <c r="G80" s="26" t="s">
        <v>877</v>
      </c>
      <c r="H80" s="28" t="s">
        <v>136</v>
      </c>
      <c r="I80" s="28" t="s">
        <v>136</v>
      </c>
      <c r="J80" s="22" t="s">
        <v>164</v>
      </c>
      <c r="K80" s="100" t="s">
        <v>622</v>
      </c>
      <c r="L80" s="100"/>
      <c r="M80" s="100"/>
      <c r="N80" s="36">
        <v>0.3</v>
      </c>
      <c r="O80" s="37" t="e">
        <f t="shared" si="5"/>
        <v>#VALUE!</v>
      </c>
    </row>
    <row r="81" spans="1:15" ht="22.5" customHeight="1" x14ac:dyDescent="0.35">
      <c r="A81" s="38">
        <v>67</v>
      </c>
      <c r="B81" s="34" t="s">
        <v>878</v>
      </c>
      <c r="C81" s="22" t="s">
        <v>21</v>
      </c>
      <c r="D81" s="42">
        <v>2602000917</v>
      </c>
      <c r="E81" s="24" t="s">
        <v>879</v>
      </c>
      <c r="F81" s="25" t="s">
        <v>880</v>
      </c>
      <c r="G81" s="26" t="s">
        <v>881</v>
      </c>
      <c r="H81" s="28" t="s">
        <v>136</v>
      </c>
      <c r="I81" s="28" t="s">
        <v>136</v>
      </c>
      <c r="J81" s="28" t="s">
        <v>160</v>
      </c>
      <c r="K81" s="100">
        <v>3.56</v>
      </c>
      <c r="L81" s="100"/>
      <c r="M81" s="100"/>
      <c r="N81" s="36">
        <v>0.3</v>
      </c>
      <c r="O81" s="37">
        <f t="shared" si="5"/>
        <v>8330400</v>
      </c>
    </row>
    <row r="82" spans="1:15" ht="22.5" customHeight="1" x14ac:dyDescent="0.35">
      <c r="A82" s="36">
        <v>68</v>
      </c>
      <c r="B82" s="34" t="s">
        <v>882</v>
      </c>
      <c r="C82" s="22" t="s">
        <v>21</v>
      </c>
      <c r="D82" s="42">
        <v>2602000910</v>
      </c>
      <c r="E82" s="24" t="s">
        <v>883</v>
      </c>
      <c r="F82" s="25" t="s">
        <v>884</v>
      </c>
      <c r="G82" s="26" t="s">
        <v>578</v>
      </c>
      <c r="H82" s="28" t="s">
        <v>136</v>
      </c>
      <c r="I82" s="28" t="s">
        <v>136</v>
      </c>
      <c r="J82" s="28" t="s">
        <v>160</v>
      </c>
      <c r="K82" s="100">
        <v>3.56</v>
      </c>
      <c r="L82" s="100"/>
      <c r="M82" s="100"/>
      <c r="N82" s="36">
        <v>0.3</v>
      </c>
      <c r="O82" s="37">
        <f t="shared" si="5"/>
        <v>8330400</v>
      </c>
    </row>
    <row r="83" spans="1:15" ht="22.5" customHeight="1" x14ac:dyDescent="0.35">
      <c r="A83" s="33">
        <v>69</v>
      </c>
      <c r="B83" s="34" t="s">
        <v>885</v>
      </c>
      <c r="C83" s="22"/>
      <c r="D83" s="23" t="s">
        <v>886</v>
      </c>
      <c r="E83" s="24" t="s">
        <v>887</v>
      </c>
      <c r="F83" s="25" t="s">
        <v>888</v>
      </c>
      <c r="G83" s="26" t="s">
        <v>426</v>
      </c>
      <c r="H83" s="28" t="s">
        <v>136</v>
      </c>
      <c r="I83" s="28" t="s">
        <v>136</v>
      </c>
      <c r="J83" s="22" t="s">
        <v>190</v>
      </c>
      <c r="K83" s="100">
        <v>1.83</v>
      </c>
      <c r="L83" s="100"/>
      <c r="M83" s="100"/>
      <c r="N83" s="36">
        <v>0.3</v>
      </c>
      <c r="O83" s="37">
        <f t="shared" si="5"/>
        <v>4282200</v>
      </c>
    </row>
    <row r="84" spans="1:15" ht="22.5" customHeight="1" x14ac:dyDescent="0.35">
      <c r="A84" s="38">
        <v>70</v>
      </c>
      <c r="B84" s="34" t="s">
        <v>889</v>
      </c>
      <c r="C84" s="63"/>
      <c r="D84" s="54" t="s">
        <v>890</v>
      </c>
      <c r="E84" s="40" t="s">
        <v>891</v>
      </c>
      <c r="F84" s="41" t="s">
        <v>892</v>
      </c>
      <c r="G84" s="26" t="s">
        <v>698</v>
      </c>
      <c r="H84" s="28" t="s">
        <v>136</v>
      </c>
      <c r="I84" s="28" t="s">
        <v>136</v>
      </c>
      <c r="J84" s="28" t="s">
        <v>160</v>
      </c>
      <c r="K84" s="100">
        <v>3.56</v>
      </c>
      <c r="L84" s="141"/>
      <c r="M84" s="141"/>
      <c r="N84" s="36">
        <v>0.3</v>
      </c>
      <c r="O84" s="37">
        <f t="shared" si="5"/>
        <v>8330400</v>
      </c>
    </row>
    <row r="85" spans="1:15" ht="22.5" customHeight="1" x14ac:dyDescent="0.35">
      <c r="A85" s="39"/>
      <c r="B85" s="47" t="s">
        <v>893</v>
      </c>
      <c r="C85" s="64"/>
      <c r="D85" s="65"/>
      <c r="E85" s="65"/>
      <c r="F85" s="79"/>
      <c r="G85" s="39"/>
      <c r="H85" s="55"/>
      <c r="I85" s="55"/>
      <c r="J85" s="52"/>
      <c r="K85" s="159"/>
      <c r="L85" s="160"/>
      <c r="M85" s="160"/>
      <c r="N85" s="52"/>
      <c r="O85" s="53"/>
    </row>
    <row r="86" spans="1:15" ht="22.5" customHeight="1" x14ac:dyDescent="0.35">
      <c r="A86" s="36">
        <v>71</v>
      </c>
      <c r="B86" s="34" t="s">
        <v>894</v>
      </c>
      <c r="C86" s="22" t="s">
        <v>21</v>
      </c>
      <c r="D86" s="54" t="s">
        <v>895</v>
      </c>
      <c r="E86" s="40" t="s">
        <v>896</v>
      </c>
      <c r="F86" s="41" t="s">
        <v>897</v>
      </c>
      <c r="G86" s="26" t="s">
        <v>898</v>
      </c>
      <c r="H86" s="28" t="s">
        <v>145</v>
      </c>
      <c r="I86" s="28" t="s">
        <v>180</v>
      </c>
      <c r="J86" s="28" t="s">
        <v>899</v>
      </c>
      <c r="K86" s="141" t="s">
        <v>604</v>
      </c>
      <c r="L86" s="141"/>
      <c r="M86" s="141">
        <v>0.2</v>
      </c>
      <c r="N86" s="36">
        <v>0.3</v>
      </c>
      <c r="O86" s="37" t="e">
        <f t="shared" ref="O86:O91" si="6">(K86+L86+M86)*2340000</f>
        <v>#VALUE!</v>
      </c>
    </row>
    <row r="87" spans="1:15" ht="22.5" customHeight="1" x14ac:dyDescent="0.35">
      <c r="A87" s="33">
        <v>72</v>
      </c>
      <c r="B87" s="34" t="s">
        <v>900</v>
      </c>
      <c r="C87" s="22" t="s">
        <v>21</v>
      </c>
      <c r="D87" s="45">
        <v>2605000296</v>
      </c>
      <c r="E87" s="40" t="s">
        <v>901</v>
      </c>
      <c r="F87" s="41" t="s">
        <v>902</v>
      </c>
      <c r="G87" s="26" t="s">
        <v>745</v>
      </c>
      <c r="H87" s="28" t="s">
        <v>136</v>
      </c>
      <c r="I87" s="28" t="s">
        <v>136</v>
      </c>
      <c r="J87" s="28" t="s">
        <v>160</v>
      </c>
      <c r="K87" s="100">
        <v>3.56</v>
      </c>
      <c r="L87" s="141"/>
      <c r="M87" s="141"/>
      <c r="N87" s="36">
        <v>0.3</v>
      </c>
      <c r="O87" s="37">
        <f t="shared" si="6"/>
        <v>8330400</v>
      </c>
    </row>
    <row r="88" spans="1:15" ht="22.5" customHeight="1" x14ac:dyDescent="0.35">
      <c r="A88" s="38">
        <v>73</v>
      </c>
      <c r="B88" s="34" t="s">
        <v>903</v>
      </c>
      <c r="C88" s="63"/>
      <c r="D88" s="45">
        <v>2606005527</v>
      </c>
      <c r="E88" s="40" t="s">
        <v>904</v>
      </c>
      <c r="F88" s="41" t="s">
        <v>905</v>
      </c>
      <c r="G88" s="26" t="s">
        <v>628</v>
      </c>
      <c r="H88" s="28" t="s">
        <v>136</v>
      </c>
      <c r="I88" s="28" t="s">
        <v>136</v>
      </c>
      <c r="J88" s="28" t="s">
        <v>160</v>
      </c>
      <c r="K88" s="100">
        <v>3.56</v>
      </c>
      <c r="L88" s="141"/>
      <c r="M88" s="141"/>
      <c r="N88" s="36">
        <v>0.3</v>
      </c>
      <c r="O88" s="37">
        <f t="shared" si="6"/>
        <v>8330400</v>
      </c>
    </row>
    <row r="89" spans="1:15" ht="22.5" customHeight="1" x14ac:dyDescent="0.35">
      <c r="A89" s="36">
        <v>74</v>
      </c>
      <c r="B89" s="34" t="s">
        <v>906</v>
      </c>
      <c r="C89" s="22" t="s">
        <v>21</v>
      </c>
      <c r="D89" s="42">
        <v>2603000381</v>
      </c>
      <c r="E89" s="24" t="s">
        <v>907</v>
      </c>
      <c r="F89" s="25" t="s">
        <v>908</v>
      </c>
      <c r="G89" s="26" t="s">
        <v>821</v>
      </c>
      <c r="H89" s="28" t="s">
        <v>136</v>
      </c>
      <c r="I89" s="28" t="s">
        <v>136</v>
      </c>
      <c r="J89" s="28" t="s">
        <v>164</v>
      </c>
      <c r="K89" s="141" t="s">
        <v>622</v>
      </c>
      <c r="L89" s="100"/>
      <c r="M89" s="100"/>
      <c r="N89" s="36">
        <v>0.3</v>
      </c>
      <c r="O89" s="37" t="e">
        <f t="shared" si="6"/>
        <v>#VALUE!</v>
      </c>
    </row>
    <row r="90" spans="1:15" ht="22.5" customHeight="1" x14ac:dyDescent="0.35">
      <c r="A90" s="33">
        <v>75</v>
      </c>
      <c r="B90" s="34" t="s">
        <v>909</v>
      </c>
      <c r="C90" s="22"/>
      <c r="D90" s="23" t="s">
        <v>910</v>
      </c>
      <c r="E90" s="24" t="s">
        <v>911</v>
      </c>
      <c r="F90" s="25" t="s">
        <v>912</v>
      </c>
      <c r="G90" s="26" t="s">
        <v>796</v>
      </c>
      <c r="H90" s="28" t="s">
        <v>136</v>
      </c>
      <c r="I90" s="28" t="s">
        <v>136</v>
      </c>
      <c r="J90" s="28" t="s">
        <v>164</v>
      </c>
      <c r="K90" s="141" t="s">
        <v>622</v>
      </c>
      <c r="L90" s="100"/>
      <c r="M90" s="100"/>
      <c r="N90" s="36">
        <v>0.3</v>
      </c>
      <c r="O90" s="37" t="e">
        <f t="shared" si="6"/>
        <v>#VALUE!</v>
      </c>
    </row>
    <row r="91" spans="1:15" ht="22.5" customHeight="1" x14ac:dyDescent="0.35">
      <c r="A91" s="38">
        <v>76</v>
      </c>
      <c r="B91" s="34" t="s">
        <v>913</v>
      </c>
      <c r="C91" s="22"/>
      <c r="D91" s="42">
        <v>2696039414</v>
      </c>
      <c r="E91" s="24" t="s">
        <v>914</v>
      </c>
      <c r="F91" s="25" t="s">
        <v>915</v>
      </c>
      <c r="G91" s="26" t="s">
        <v>706</v>
      </c>
      <c r="H91" s="28" t="s">
        <v>136</v>
      </c>
      <c r="I91" s="28" t="s">
        <v>136</v>
      </c>
      <c r="J91" s="22" t="s">
        <v>160</v>
      </c>
      <c r="K91" s="100" t="s">
        <v>715</v>
      </c>
      <c r="L91" s="100"/>
      <c r="M91" s="100"/>
      <c r="N91" s="36">
        <v>0.3</v>
      </c>
      <c r="O91" s="37" t="e">
        <f t="shared" si="6"/>
        <v>#VALUE!</v>
      </c>
    </row>
    <row r="92" spans="1:15" ht="22.5" customHeight="1" x14ac:dyDescent="0.35">
      <c r="A92" s="39"/>
      <c r="B92" s="47" t="s">
        <v>916</v>
      </c>
      <c r="C92" s="35"/>
      <c r="D92" s="49"/>
      <c r="E92" s="49"/>
      <c r="F92" s="50"/>
      <c r="G92" s="39"/>
      <c r="H92" s="55"/>
      <c r="I92" s="55"/>
      <c r="J92" s="39"/>
      <c r="K92" s="159"/>
      <c r="L92" s="159"/>
      <c r="M92" s="159"/>
      <c r="N92" s="52"/>
      <c r="O92" s="53"/>
    </row>
    <row r="93" spans="1:15" ht="22.5" customHeight="1" x14ac:dyDescent="0.35">
      <c r="A93" s="36">
        <v>77</v>
      </c>
      <c r="B93" s="34" t="s">
        <v>917</v>
      </c>
      <c r="C93" s="63"/>
      <c r="D93" s="45">
        <v>2603001980</v>
      </c>
      <c r="E93" s="40" t="s">
        <v>918</v>
      </c>
      <c r="F93" s="41" t="s">
        <v>919</v>
      </c>
      <c r="G93" s="26" t="s">
        <v>920</v>
      </c>
      <c r="H93" s="28" t="s">
        <v>145</v>
      </c>
      <c r="I93" s="28" t="s">
        <v>27</v>
      </c>
      <c r="J93" s="28" t="s">
        <v>96</v>
      </c>
      <c r="K93" s="141" t="s">
        <v>720</v>
      </c>
      <c r="L93" s="141"/>
      <c r="M93" s="141">
        <v>0.2</v>
      </c>
      <c r="N93" s="36">
        <v>0.3</v>
      </c>
      <c r="O93" s="37" t="e">
        <f t="shared" ref="O93:O109" si="7">(K93+L93+M93)*2340000</f>
        <v>#VALUE!</v>
      </c>
    </row>
    <row r="94" spans="1:15" ht="22.5" customHeight="1" x14ac:dyDescent="0.35">
      <c r="A94" s="33">
        <v>78</v>
      </c>
      <c r="B94" s="34" t="s">
        <v>921</v>
      </c>
      <c r="C94" s="22"/>
      <c r="D94" s="42">
        <v>3412001421</v>
      </c>
      <c r="E94" s="40" t="s">
        <v>922</v>
      </c>
      <c r="F94" s="41" t="s">
        <v>923</v>
      </c>
      <c r="G94" s="26" t="s">
        <v>291</v>
      </c>
      <c r="H94" s="28" t="s">
        <v>150</v>
      </c>
      <c r="I94" s="28" t="s">
        <v>180</v>
      </c>
      <c r="J94" s="22" t="s">
        <v>335</v>
      </c>
      <c r="K94" s="100" t="s">
        <v>924</v>
      </c>
      <c r="L94" s="100"/>
      <c r="M94" s="100"/>
      <c r="N94" s="36">
        <v>0.3</v>
      </c>
      <c r="O94" s="37" t="e">
        <f t="shared" si="7"/>
        <v>#VALUE!</v>
      </c>
    </row>
    <row r="95" spans="1:15" ht="22.5" customHeight="1" x14ac:dyDescent="0.35">
      <c r="A95" s="38">
        <v>79</v>
      </c>
      <c r="B95" s="34" t="s">
        <v>925</v>
      </c>
      <c r="C95" s="22"/>
      <c r="D95" s="23" t="s">
        <v>926</v>
      </c>
      <c r="E95" s="24" t="s">
        <v>927</v>
      </c>
      <c r="F95" s="25" t="s">
        <v>928</v>
      </c>
      <c r="G95" s="26" t="s">
        <v>929</v>
      </c>
      <c r="H95" s="28" t="s">
        <v>150</v>
      </c>
      <c r="I95" s="28" t="s">
        <v>27</v>
      </c>
      <c r="J95" s="22" t="s">
        <v>37</v>
      </c>
      <c r="K95" s="100" t="s">
        <v>630</v>
      </c>
      <c r="L95" s="100"/>
      <c r="M95" s="100"/>
      <c r="N95" s="36">
        <v>0.3</v>
      </c>
      <c r="O95" s="37" t="e">
        <f t="shared" si="7"/>
        <v>#VALUE!</v>
      </c>
    </row>
    <row r="96" spans="1:15" ht="22.5" customHeight="1" x14ac:dyDescent="0.35">
      <c r="A96" s="36">
        <v>80</v>
      </c>
      <c r="B96" s="34" t="s">
        <v>930</v>
      </c>
      <c r="C96" s="22" t="s">
        <v>21</v>
      </c>
      <c r="D96" s="42">
        <v>3409017305</v>
      </c>
      <c r="E96" s="24" t="s">
        <v>931</v>
      </c>
      <c r="F96" s="25" t="s">
        <v>932</v>
      </c>
      <c r="G96" s="26" t="s">
        <v>128</v>
      </c>
      <c r="H96" s="28" t="s">
        <v>136</v>
      </c>
      <c r="I96" s="28" t="s">
        <v>180</v>
      </c>
      <c r="J96" s="22" t="s">
        <v>335</v>
      </c>
      <c r="K96" s="100" t="s">
        <v>924</v>
      </c>
      <c r="L96" s="100"/>
      <c r="M96" s="100"/>
      <c r="N96" s="36">
        <v>0.3</v>
      </c>
      <c r="O96" s="37" t="e">
        <f t="shared" si="7"/>
        <v>#VALUE!</v>
      </c>
    </row>
    <row r="97" spans="1:15" ht="22.5" customHeight="1" x14ac:dyDescent="0.35">
      <c r="A97" s="33">
        <v>81</v>
      </c>
      <c r="B97" s="34" t="s">
        <v>933</v>
      </c>
      <c r="C97" s="22" t="s">
        <v>21</v>
      </c>
      <c r="D97" s="54" t="s">
        <v>934</v>
      </c>
      <c r="E97" s="40" t="s">
        <v>935</v>
      </c>
      <c r="F97" s="41" t="s">
        <v>936</v>
      </c>
      <c r="G97" s="26" t="s">
        <v>842</v>
      </c>
      <c r="H97" s="28" t="s">
        <v>136</v>
      </c>
      <c r="I97" s="28" t="s">
        <v>136</v>
      </c>
      <c r="J97" s="28" t="s">
        <v>160</v>
      </c>
      <c r="K97" s="100">
        <v>3.56</v>
      </c>
      <c r="L97" s="141"/>
      <c r="M97" s="141"/>
      <c r="N97" s="36">
        <v>0.3</v>
      </c>
      <c r="O97" s="37">
        <f t="shared" si="7"/>
        <v>8330400</v>
      </c>
    </row>
    <row r="98" spans="1:15" ht="22.5" customHeight="1" x14ac:dyDescent="0.35">
      <c r="A98" s="38">
        <v>82</v>
      </c>
      <c r="B98" s="34" t="s">
        <v>937</v>
      </c>
      <c r="C98" s="22" t="s">
        <v>21</v>
      </c>
      <c r="D98" s="54" t="s">
        <v>938</v>
      </c>
      <c r="E98" s="40" t="s">
        <v>939</v>
      </c>
      <c r="F98" s="41" t="s">
        <v>940</v>
      </c>
      <c r="G98" s="26" t="s">
        <v>453</v>
      </c>
      <c r="H98" s="28" t="s">
        <v>225</v>
      </c>
      <c r="I98" s="28" t="s">
        <v>225</v>
      </c>
      <c r="J98" s="28" t="s">
        <v>160</v>
      </c>
      <c r="K98" s="141" t="s">
        <v>715</v>
      </c>
      <c r="L98" s="100"/>
      <c r="M98" s="100"/>
      <c r="N98" s="36">
        <v>0.3</v>
      </c>
      <c r="O98" s="37" t="e">
        <f t="shared" si="7"/>
        <v>#VALUE!</v>
      </c>
    </row>
    <row r="99" spans="1:15" ht="22.5" customHeight="1" x14ac:dyDescent="0.35">
      <c r="A99" s="36">
        <v>83</v>
      </c>
      <c r="B99" s="34" t="s">
        <v>941</v>
      </c>
      <c r="C99" s="22" t="s">
        <v>21</v>
      </c>
      <c r="D99" s="54" t="s">
        <v>942</v>
      </c>
      <c r="E99" s="40" t="s">
        <v>943</v>
      </c>
      <c r="F99" s="41" t="s">
        <v>944</v>
      </c>
      <c r="G99" s="26" t="s">
        <v>453</v>
      </c>
      <c r="H99" s="28" t="s">
        <v>225</v>
      </c>
      <c r="I99" s="28" t="s">
        <v>225</v>
      </c>
      <c r="J99" s="28" t="s">
        <v>160</v>
      </c>
      <c r="K99" s="141" t="s">
        <v>715</v>
      </c>
      <c r="L99" s="100"/>
      <c r="M99" s="100"/>
      <c r="N99" s="36">
        <v>0.3</v>
      </c>
      <c r="O99" s="37" t="e">
        <f t="shared" si="7"/>
        <v>#VALUE!</v>
      </c>
    </row>
    <row r="100" spans="1:15" ht="22.5" customHeight="1" x14ac:dyDescent="0.35">
      <c r="A100" s="33">
        <v>84</v>
      </c>
      <c r="B100" s="34" t="s">
        <v>945</v>
      </c>
      <c r="C100" s="63"/>
      <c r="D100" s="45">
        <v>2396037557</v>
      </c>
      <c r="E100" s="40" t="s">
        <v>946</v>
      </c>
      <c r="F100" s="41" t="s">
        <v>947</v>
      </c>
      <c r="G100" s="26" t="s">
        <v>491</v>
      </c>
      <c r="H100" s="28" t="s">
        <v>136</v>
      </c>
      <c r="I100" s="28" t="s">
        <v>136</v>
      </c>
      <c r="J100" s="28" t="s">
        <v>164</v>
      </c>
      <c r="K100" s="141" t="s">
        <v>622</v>
      </c>
      <c r="L100" s="141"/>
      <c r="M100" s="141"/>
      <c r="N100" s="36">
        <v>0.3</v>
      </c>
      <c r="O100" s="37" t="e">
        <f t="shared" si="7"/>
        <v>#VALUE!</v>
      </c>
    </row>
    <row r="101" spans="1:15" ht="22.5" customHeight="1" x14ac:dyDescent="0.35">
      <c r="A101" s="38">
        <v>85</v>
      </c>
      <c r="B101" s="34" t="s">
        <v>948</v>
      </c>
      <c r="C101" s="22" t="s">
        <v>21</v>
      </c>
      <c r="D101" s="45">
        <v>2606005528</v>
      </c>
      <c r="E101" s="40" t="s">
        <v>949</v>
      </c>
      <c r="F101" s="41" t="s">
        <v>950</v>
      </c>
      <c r="G101" s="26" t="s">
        <v>628</v>
      </c>
      <c r="H101" s="28" t="s">
        <v>225</v>
      </c>
      <c r="I101" s="28" t="s">
        <v>225</v>
      </c>
      <c r="J101" s="22" t="s">
        <v>160</v>
      </c>
      <c r="K101" s="100" t="s">
        <v>715</v>
      </c>
      <c r="L101" s="100"/>
      <c r="M101" s="100"/>
      <c r="N101" s="36">
        <v>0.3</v>
      </c>
      <c r="O101" s="37" t="e">
        <f t="shared" si="7"/>
        <v>#VALUE!</v>
      </c>
    </row>
    <row r="102" spans="1:15" ht="22.5" customHeight="1" x14ac:dyDescent="0.35">
      <c r="A102" s="36">
        <v>86</v>
      </c>
      <c r="B102" s="34" t="s">
        <v>951</v>
      </c>
      <c r="C102" s="63"/>
      <c r="D102" s="45">
        <v>2607003424</v>
      </c>
      <c r="E102" s="40" t="s">
        <v>952</v>
      </c>
      <c r="F102" s="41" t="s">
        <v>953</v>
      </c>
      <c r="G102" s="26" t="s">
        <v>698</v>
      </c>
      <c r="H102" s="28" t="s">
        <v>136</v>
      </c>
      <c r="I102" s="28" t="s">
        <v>136</v>
      </c>
      <c r="J102" s="28" t="s">
        <v>160</v>
      </c>
      <c r="K102" s="100">
        <v>3.56</v>
      </c>
      <c r="L102" s="141"/>
      <c r="M102" s="141"/>
      <c r="N102" s="36">
        <v>0.3</v>
      </c>
      <c r="O102" s="37">
        <f t="shared" si="7"/>
        <v>8330400</v>
      </c>
    </row>
    <row r="103" spans="1:15" ht="22.5" customHeight="1" x14ac:dyDescent="0.35">
      <c r="A103" s="33">
        <v>87</v>
      </c>
      <c r="B103" s="34" t="s">
        <v>954</v>
      </c>
      <c r="C103" s="22"/>
      <c r="D103" s="42">
        <v>2696022872</v>
      </c>
      <c r="E103" s="24" t="s">
        <v>955</v>
      </c>
      <c r="F103" s="25" t="s">
        <v>956</v>
      </c>
      <c r="G103" s="26" t="s">
        <v>400</v>
      </c>
      <c r="H103" s="28" t="s">
        <v>225</v>
      </c>
      <c r="I103" s="28" t="s">
        <v>225</v>
      </c>
      <c r="J103" s="22" t="s">
        <v>160</v>
      </c>
      <c r="K103" s="100" t="s">
        <v>715</v>
      </c>
      <c r="L103" s="100"/>
      <c r="M103" s="100"/>
      <c r="N103" s="36">
        <v>0.3</v>
      </c>
      <c r="O103" s="37" t="e">
        <f t="shared" si="7"/>
        <v>#VALUE!</v>
      </c>
    </row>
    <row r="104" spans="1:15" ht="22.5" customHeight="1" x14ac:dyDescent="0.35">
      <c r="A104" s="38">
        <v>88</v>
      </c>
      <c r="B104" s="34" t="s">
        <v>957</v>
      </c>
      <c r="C104" s="22"/>
      <c r="D104" s="23" t="s">
        <v>958</v>
      </c>
      <c r="E104" s="40" t="s">
        <v>959</v>
      </c>
      <c r="F104" s="41" t="s">
        <v>960</v>
      </c>
      <c r="G104" s="26" t="s">
        <v>961</v>
      </c>
      <c r="H104" s="28" t="s">
        <v>136</v>
      </c>
      <c r="I104" s="28" t="s">
        <v>49</v>
      </c>
      <c r="J104" s="28" t="s">
        <v>96</v>
      </c>
      <c r="K104" s="141" t="s">
        <v>720</v>
      </c>
      <c r="L104" s="141"/>
      <c r="M104" s="141"/>
      <c r="N104" s="36">
        <v>0.3</v>
      </c>
      <c r="O104" s="37" t="e">
        <f t="shared" si="7"/>
        <v>#VALUE!</v>
      </c>
    </row>
    <row r="105" spans="1:15" ht="22.5" customHeight="1" x14ac:dyDescent="0.35">
      <c r="A105" s="36">
        <v>89</v>
      </c>
      <c r="B105" s="34" t="s">
        <v>962</v>
      </c>
      <c r="C105" s="22"/>
      <c r="D105" s="42">
        <v>2606009102</v>
      </c>
      <c r="E105" s="24" t="s">
        <v>963</v>
      </c>
      <c r="F105" s="25" t="s">
        <v>964</v>
      </c>
      <c r="G105" s="26" t="s">
        <v>965</v>
      </c>
      <c r="H105" s="28" t="s">
        <v>136</v>
      </c>
      <c r="I105" s="28" t="s">
        <v>136</v>
      </c>
      <c r="J105" s="28" t="s">
        <v>160</v>
      </c>
      <c r="K105" s="100">
        <v>3.56</v>
      </c>
      <c r="L105" s="141"/>
      <c r="M105" s="141"/>
      <c r="N105" s="36">
        <v>0.3</v>
      </c>
      <c r="O105" s="37">
        <f t="shared" si="7"/>
        <v>8330400</v>
      </c>
    </row>
    <row r="106" spans="1:15" ht="22.5" customHeight="1" x14ac:dyDescent="0.35">
      <c r="A106" s="33">
        <v>90</v>
      </c>
      <c r="B106" s="34" t="s">
        <v>966</v>
      </c>
      <c r="C106" s="22" t="s">
        <v>21</v>
      </c>
      <c r="D106" s="45">
        <v>2603001985</v>
      </c>
      <c r="E106" s="40" t="s">
        <v>967</v>
      </c>
      <c r="F106" s="41" t="s">
        <v>968</v>
      </c>
      <c r="G106" s="26" t="s">
        <v>782</v>
      </c>
      <c r="H106" s="28" t="s">
        <v>136</v>
      </c>
      <c r="I106" s="28" t="s">
        <v>136</v>
      </c>
      <c r="J106" s="28" t="s">
        <v>160</v>
      </c>
      <c r="K106" s="100">
        <v>3.56</v>
      </c>
      <c r="L106" s="100"/>
      <c r="M106" s="100"/>
      <c r="N106" s="36">
        <v>0.3</v>
      </c>
      <c r="O106" s="37">
        <f t="shared" si="7"/>
        <v>8330400</v>
      </c>
    </row>
    <row r="107" spans="1:15" ht="22.5" customHeight="1" x14ac:dyDescent="0.35">
      <c r="A107" s="38">
        <v>91</v>
      </c>
      <c r="B107" s="34" t="s">
        <v>969</v>
      </c>
      <c r="C107" s="22"/>
      <c r="D107" s="23" t="s">
        <v>970</v>
      </c>
      <c r="E107" s="24" t="s">
        <v>971</v>
      </c>
      <c r="F107" s="25" t="s">
        <v>972</v>
      </c>
      <c r="G107" s="26">
        <v>44317</v>
      </c>
      <c r="H107" s="28" t="s">
        <v>136</v>
      </c>
      <c r="I107" s="28" t="s">
        <v>136</v>
      </c>
      <c r="J107" s="22" t="s">
        <v>175</v>
      </c>
      <c r="K107" s="100">
        <v>2.5499999999999998</v>
      </c>
      <c r="L107" s="100"/>
      <c r="M107" s="100"/>
      <c r="N107" s="36">
        <v>0.3</v>
      </c>
      <c r="O107" s="37">
        <f t="shared" si="7"/>
        <v>5967000</v>
      </c>
    </row>
    <row r="108" spans="1:15" ht="22.5" customHeight="1" x14ac:dyDescent="0.35">
      <c r="A108" s="36">
        <v>92</v>
      </c>
      <c r="B108" s="34" t="s">
        <v>973</v>
      </c>
      <c r="C108" s="22"/>
      <c r="D108" s="23" t="s">
        <v>974</v>
      </c>
      <c r="E108" s="24">
        <v>36701</v>
      </c>
      <c r="F108" s="25" t="s">
        <v>975</v>
      </c>
      <c r="G108" s="26" t="s">
        <v>976</v>
      </c>
      <c r="H108" s="28" t="s">
        <v>136</v>
      </c>
      <c r="I108" s="28" t="s">
        <v>136</v>
      </c>
      <c r="J108" s="22" t="s">
        <v>137</v>
      </c>
      <c r="K108" s="100">
        <v>1.83</v>
      </c>
      <c r="L108" s="100"/>
      <c r="M108" s="100"/>
      <c r="N108" s="36">
        <v>0.3</v>
      </c>
      <c r="O108" s="37">
        <f t="shared" si="7"/>
        <v>4282200</v>
      </c>
    </row>
    <row r="109" spans="1:15" ht="22.5" customHeight="1" x14ac:dyDescent="0.35">
      <c r="A109" s="33">
        <v>93</v>
      </c>
      <c r="B109" s="34" t="s">
        <v>977</v>
      </c>
      <c r="C109" s="63"/>
      <c r="D109" s="54" t="s">
        <v>978</v>
      </c>
      <c r="E109" s="40" t="s">
        <v>979</v>
      </c>
      <c r="F109" s="41" t="s">
        <v>980</v>
      </c>
      <c r="G109" s="26" t="s">
        <v>981</v>
      </c>
      <c r="H109" s="28" t="s">
        <v>136</v>
      </c>
      <c r="I109" s="28" t="s">
        <v>136</v>
      </c>
      <c r="J109" s="22" t="s">
        <v>164</v>
      </c>
      <c r="K109" s="100" t="s">
        <v>622</v>
      </c>
      <c r="L109" s="100"/>
      <c r="M109" s="100"/>
      <c r="N109" s="36">
        <v>0.3</v>
      </c>
      <c r="O109" s="37" t="e">
        <f t="shared" si="7"/>
        <v>#VALUE!</v>
      </c>
    </row>
    <row r="110" spans="1:15" ht="22.5" customHeight="1" x14ac:dyDescent="0.35">
      <c r="A110" s="46"/>
      <c r="B110" s="47" t="s">
        <v>982</v>
      </c>
      <c r="C110" s="64"/>
      <c r="D110" s="80"/>
      <c r="E110" s="80"/>
      <c r="F110" s="81"/>
      <c r="G110" s="39"/>
      <c r="H110" s="55"/>
      <c r="I110" s="55"/>
      <c r="J110" s="39"/>
      <c r="K110" s="159"/>
      <c r="L110" s="159"/>
      <c r="M110" s="159"/>
      <c r="N110" s="52"/>
      <c r="O110" s="53"/>
    </row>
    <row r="111" spans="1:15" ht="22.5" customHeight="1" x14ac:dyDescent="0.35">
      <c r="A111" s="38">
        <v>94</v>
      </c>
      <c r="B111" s="34" t="s">
        <v>983</v>
      </c>
      <c r="C111" s="63"/>
      <c r="D111" s="82">
        <v>2605000293</v>
      </c>
      <c r="E111" s="83" t="s">
        <v>984</v>
      </c>
      <c r="F111" s="84" t="s">
        <v>985</v>
      </c>
      <c r="G111" s="26" t="s">
        <v>986</v>
      </c>
      <c r="H111" s="28" t="s">
        <v>145</v>
      </c>
      <c r="I111" s="28" t="s">
        <v>27</v>
      </c>
      <c r="J111" s="28" t="s">
        <v>96</v>
      </c>
      <c r="K111" s="141" t="s">
        <v>720</v>
      </c>
      <c r="L111" s="141"/>
      <c r="M111" s="141">
        <v>0.2</v>
      </c>
      <c r="N111" s="36">
        <v>0.3</v>
      </c>
      <c r="O111" s="37" t="e">
        <f t="shared" ref="O111:O121" si="8">(K111+L111+M111)*2340000</f>
        <v>#VALUE!</v>
      </c>
    </row>
    <row r="112" spans="1:15" ht="22.5" customHeight="1" x14ac:dyDescent="0.35">
      <c r="A112" s="36">
        <v>95</v>
      </c>
      <c r="B112" s="34" t="s">
        <v>987</v>
      </c>
      <c r="C112" s="22"/>
      <c r="D112" s="42">
        <v>3411006380</v>
      </c>
      <c r="E112" s="40" t="s">
        <v>988</v>
      </c>
      <c r="F112" s="41" t="s">
        <v>989</v>
      </c>
      <c r="G112" s="26" t="s">
        <v>787</v>
      </c>
      <c r="H112" s="28" t="s">
        <v>150</v>
      </c>
      <c r="I112" s="28" t="s">
        <v>27</v>
      </c>
      <c r="J112" s="22" t="s">
        <v>96</v>
      </c>
      <c r="K112" s="141" t="s">
        <v>720</v>
      </c>
      <c r="L112" s="100"/>
      <c r="M112" s="100"/>
      <c r="N112" s="36">
        <v>0.3</v>
      </c>
      <c r="O112" s="37" t="e">
        <f t="shared" si="8"/>
        <v>#VALUE!</v>
      </c>
    </row>
    <row r="113" spans="1:15" ht="22.5" customHeight="1" x14ac:dyDescent="0.35">
      <c r="A113" s="33">
        <v>96</v>
      </c>
      <c r="B113" s="34" t="s">
        <v>990</v>
      </c>
      <c r="C113" s="22"/>
      <c r="D113" s="54" t="s">
        <v>991</v>
      </c>
      <c r="E113" s="40" t="s">
        <v>992</v>
      </c>
      <c r="F113" s="41" t="s">
        <v>993</v>
      </c>
      <c r="G113" s="26" t="s">
        <v>296</v>
      </c>
      <c r="H113" s="28" t="s">
        <v>150</v>
      </c>
      <c r="I113" s="28" t="s">
        <v>757</v>
      </c>
      <c r="J113" s="22" t="s">
        <v>90</v>
      </c>
      <c r="K113" s="100" t="s">
        <v>726</v>
      </c>
      <c r="L113" s="100"/>
      <c r="M113" s="100"/>
      <c r="N113" s="36">
        <v>0.3</v>
      </c>
      <c r="O113" s="37" t="e">
        <f t="shared" si="8"/>
        <v>#VALUE!</v>
      </c>
    </row>
    <row r="114" spans="1:15" ht="22.5" customHeight="1" x14ac:dyDescent="0.35">
      <c r="A114" s="38">
        <v>97</v>
      </c>
      <c r="B114" s="34" t="s">
        <v>994</v>
      </c>
      <c r="C114" s="22" t="s">
        <v>21</v>
      </c>
      <c r="D114" s="45">
        <v>2606005525</v>
      </c>
      <c r="E114" s="40" t="s">
        <v>995</v>
      </c>
      <c r="F114" s="41" t="s">
        <v>996</v>
      </c>
      <c r="G114" s="26" t="s">
        <v>628</v>
      </c>
      <c r="H114" s="28" t="s">
        <v>136</v>
      </c>
      <c r="I114" s="28" t="s">
        <v>136</v>
      </c>
      <c r="J114" s="28" t="s">
        <v>160</v>
      </c>
      <c r="K114" s="100">
        <v>3.56</v>
      </c>
      <c r="L114" s="100"/>
      <c r="M114" s="100"/>
      <c r="N114" s="36">
        <v>0.3</v>
      </c>
      <c r="O114" s="37">
        <f t="shared" si="8"/>
        <v>8330400</v>
      </c>
    </row>
    <row r="115" spans="1:15" ht="22.5" customHeight="1" x14ac:dyDescent="0.35">
      <c r="A115" s="36">
        <v>98</v>
      </c>
      <c r="B115" s="34" t="s">
        <v>997</v>
      </c>
      <c r="C115" s="22" t="s">
        <v>21</v>
      </c>
      <c r="D115" s="45">
        <v>2605000297</v>
      </c>
      <c r="E115" s="40" t="s">
        <v>998</v>
      </c>
      <c r="F115" s="41" t="s">
        <v>999</v>
      </c>
      <c r="G115" s="26" t="s">
        <v>745</v>
      </c>
      <c r="H115" s="28" t="s">
        <v>225</v>
      </c>
      <c r="I115" s="28" t="s">
        <v>225</v>
      </c>
      <c r="J115" s="28" t="s">
        <v>160</v>
      </c>
      <c r="K115" s="141">
        <v>3.56</v>
      </c>
      <c r="L115" s="141"/>
      <c r="M115" s="141"/>
      <c r="N115" s="36">
        <v>0.3</v>
      </c>
      <c r="O115" s="37">
        <f t="shared" si="8"/>
        <v>8330400</v>
      </c>
    </row>
    <row r="116" spans="1:15" ht="22.5" customHeight="1" x14ac:dyDescent="0.35">
      <c r="A116" s="33">
        <v>99</v>
      </c>
      <c r="B116" s="34" t="s">
        <v>1000</v>
      </c>
      <c r="C116" s="22"/>
      <c r="D116" s="42">
        <v>8704000748</v>
      </c>
      <c r="E116" s="40" t="s">
        <v>712</v>
      </c>
      <c r="F116" s="41" t="s">
        <v>1001</v>
      </c>
      <c r="G116" s="26" t="s">
        <v>787</v>
      </c>
      <c r="H116" s="28" t="s">
        <v>136</v>
      </c>
      <c r="I116" s="28" t="s">
        <v>136</v>
      </c>
      <c r="J116" s="22" t="s">
        <v>164</v>
      </c>
      <c r="K116" s="100" t="s">
        <v>622</v>
      </c>
      <c r="L116" s="100"/>
      <c r="M116" s="100"/>
      <c r="N116" s="36">
        <v>0.3</v>
      </c>
      <c r="O116" s="37" t="e">
        <f t="shared" si="8"/>
        <v>#VALUE!</v>
      </c>
    </row>
    <row r="117" spans="1:15" ht="22.5" customHeight="1" x14ac:dyDescent="0.35">
      <c r="A117" s="38">
        <v>100</v>
      </c>
      <c r="B117" s="34" t="s">
        <v>1002</v>
      </c>
      <c r="C117" s="22" t="s">
        <v>21</v>
      </c>
      <c r="D117" s="45">
        <v>2607003422</v>
      </c>
      <c r="E117" s="40" t="s">
        <v>1003</v>
      </c>
      <c r="F117" s="41" t="s">
        <v>1004</v>
      </c>
      <c r="G117" s="26" t="s">
        <v>698</v>
      </c>
      <c r="H117" s="28" t="s">
        <v>136</v>
      </c>
      <c r="I117" s="28" t="s">
        <v>136</v>
      </c>
      <c r="J117" s="28" t="s">
        <v>160</v>
      </c>
      <c r="K117" s="100">
        <v>3.56</v>
      </c>
      <c r="L117" s="100"/>
      <c r="M117" s="100"/>
      <c r="N117" s="36">
        <v>0.3</v>
      </c>
      <c r="O117" s="37">
        <f t="shared" si="8"/>
        <v>8330400</v>
      </c>
    </row>
    <row r="118" spans="1:15" ht="22.5" customHeight="1" x14ac:dyDescent="0.35">
      <c r="A118" s="36">
        <v>101</v>
      </c>
      <c r="B118" s="34" t="s">
        <v>1005</v>
      </c>
      <c r="C118" s="63"/>
      <c r="D118" s="54" t="s">
        <v>1006</v>
      </c>
      <c r="E118" s="40" t="s">
        <v>1007</v>
      </c>
      <c r="F118" s="41" t="s">
        <v>1008</v>
      </c>
      <c r="G118" s="26" t="s">
        <v>1009</v>
      </c>
      <c r="H118" s="28" t="s">
        <v>225</v>
      </c>
      <c r="I118" s="28" t="s">
        <v>225</v>
      </c>
      <c r="J118" s="22" t="s">
        <v>160</v>
      </c>
      <c r="K118" s="100">
        <v>3.56</v>
      </c>
      <c r="L118" s="141"/>
      <c r="M118" s="141"/>
      <c r="N118" s="36">
        <v>0.3</v>
      </c>
      <c r="O118" s="37">
        <f t="shared" si="8"/>
        <v>8330400</v>
      </c>
    </row>
    <row r="119" spans="1:15" ht="22.5" customHeight="1" x14ac:dyDescent="0.35">
      <c r="A119" s="33">
        <v>102</v>
      </c>
      <c r="B119" s="34" t="s">
        <v>1010</v>
      </c>
      <c r="C119" s="22"/>
      <c r="D119" s="42">
        <v>2696022856</v>
      </c>
      <c r="E119" s="24" t="s">
        <v>1011</v>
      </c>
      <c r="F119" s="25" t="s">
        <v>1012</v>
      </c>
      <c r="G119" s="26" t="s">
        <v>652</v>
      </c>
      <c r="H119" s="28" t="s">
        <v>136</v>
      </c>
      <c r="I119" s="28" t="s">
        <v>136</v>
      </c>
      <c r="J119" s="22" t="s">
        <v>164</v>
      </c>
      <c r="K119" s="100" t="s">
        <v>622</v>
      </c>
      <c r="L119" s="100"/>
      <c r="M119" s="100"/>
      <c r="N119" s="36">
        <v>0.3</v>
      </c>
      <c r="O119" s="37" t="e">
        <f t="shared" si="8"/>
        <v>#VALUE!</v>
      </c>
    </row>
    <row r="120" spans="1:15" ht="22.5" customHeight="1" x14ac:dyDescent="0.35">
      <c r="A120" s="36">
        <v>104</v>
      </c>
      <c r="B120" s="34" t="s">
        <v>1013</v>
      </c>
      <c r="C120" s="22"/>
      <c r="D120" s="42">
        <v>2602000927</v>
      </c>
      <c r="E120" s="24" t="s">
        <v>1014</v>
      </c>
      <c r="F120" s="25" t="s">
        <v>1015</v>
      </c>
      <c r="G120" s="26" t="s">
        <v>25</v>
      </c>
      <c r="H120" s="28" t="s">
        <v>136</v>
      </c>
      <c r="I120" s="28" t="s">
        <v>136</v>
      </c>
      <c r="J120" s="28" t="s">
        <v>160</v>
      </c>
      <c r="K120" s="100">
        <v>3.56</v>
      </c>
      <c r="L120" s="100"/>
      <c r="M120" s="100"/>
      <c r="N120" s="36">
        <v>0.3</v>
      </c>
      <c r="O120" s="37">
        <f t="shared" si="8"/>
        <v>8330400</v>
      </c>
    </row>
    <row r="121" spans="1:15" ht="22.5" customHeight="1" x14ac:dyDescent="0.35">
      <c r="A121" s="33">
        <v>105</v>
      </c>
      <c r="B121" s="34" t="s">
        <v>1016</v>
      </c>
      <c r="C121" s="22"/>
      <c r="D121" s="45">
        <v>3413026404</v>
      </c>
      <c r="E121" s="40" t="s">
        <v>1017</v>
      </c>
      <c r="F121" s="41" t="s">
        <v>1018</v>
      </c>
      <c r="G121" s="26" t="s">
        <v>1019</v>
      </c>
      <c r="H121" s="28" t="s">
        <v>136</v>
      </c>
      <c r="I121" s="28" t="s">
        <v>136</v>
      </c>
      <c r="J121" s="22" t="s">
        <v>175</v>
      </c>
      <c r="K121" s="100">
        <v>2.5499999999999998</v>
      </c>
      <c r="L121" s="100"/>
      <c r="M121" s="100"/>
      <c r="N121" s="36">
        <v>0.3</v>
      </c>
      <c r="O121" s="37">
        <f t="shared" si="8"/>
        <v>5967000</v>
      </c>
    </row>
    <row r="122" spans="1:15" ht="22.5" customHeight="1" x14ac:dyDescent="0.35">
      <c r="A122" s="46"/>
      <c r="B122" s="47" t="s">
        <v>1020</v>
      </c>
      <c r="C122" s="35"/>
      <c r="D122" s="65"/>
      <c r="E122" s="65"/>
      <c r="F122" s="79"/>
      <c r="G122" s="39"/>
      <c r="H122" s="52"/>
      <c r="I122" s="52"/>
      <c r="J122" s="39"/>
      <c r="K122" s="159"/>
      <c r="L122" s="159"/>
      <c r="M122" s="159"/>
      <c r="N122" s="52"/>
      <c r="O122" s="53"/>
    </row>
    <row r="123" spans="1:15" ht="22.5" customHeight="1" x14ac:dyDescent="0.35">
      <c r="A123" s="38">
        <v>106</v>
      </c>
      <c r="B123" s="34" t="s">
        <v>1021</v>
      </c>
      <c r="C123" s="63"/>
      <c r="D123" s="54" t="s">
        <v>1022</v>
      </c>
      <c r="E123" s="40" t="s">
        <v>1023</v>
      </c>
      <c r="F123" s="41" t="s">
        <v>1024</v>
      </c>
      <c r="G123" s="26" t="s">
        <v>1025</v>
      </c>
      <c r="H123" s="28" t="s">
        <v>145</v>
      </c>
      <c r="I123" s="28" t="s">
        <v>27</v>
      </c>
      <c r="J123" s="28" t="s">
        <v>50</v>
      </c>
      <c r="K123" s="141" t="s">
        <v>654</v>
      </c>
      <c r="L123" s="141"/>
      <c r="M123" s="141">
        <v>0.2</v>
      </c>
      <c r="N123" s="36">
        <v>0.3</v>
      </c>
      <c r="O123" s="37" t="e">
        <f>(K123+L123+M123)*2340000</f>
        <v>#VALUE!</v>
      </c>
    </row>
    <row r="124" spans="1:15" ht="22.5" customHeight="1" x14ac:dyDescent="0.35">
      <c r="A124" s="36">
        <v>107</v>
      </c>
      <c r="B124" s="34" t="s">
        <v>1026</v>
      </c>
      <c r="C124" s="63"/>
      <c r="D124" s="54" t="s">
        <v>1027</v>
      </c>
      <c r="E124" s="40" t="s">
        <v>1028</v>
      </c>
      <c r="F124" s="41" t="s">
        <v>1029</v>
      </c>
      <c r="G124" s="26" t="s">
        <v>1030</v>
      </c>
      <c r="H124" s="28" t="s">
        <v>225</v>
      </c>
      <c r="I124" s="28" t="s">
        <v>225</v>
      </c>
      <c r="J124" s="28" t="s">
        <v>164</v>
      </c>
      <c r="K124" s="141" t="s">
        <v>676</v>
      </c>
      <c r="L124" s="141"/>
      <c r="M124" s="141">
        <v>0.1</v>
      </c>
      <c r="N124" s="36">
        <v>0.3</v>
      </c>
      <c r="O124" s="37" t="e">
        <f>(K124+L124+M124)*2340000</f>
        <v>#VALUE!</v>
      </c>
    </row>
    <row r="125" spans="1:15" ht="22.5" customHeight="1" x14ac:dyDescent="0.35">
      <c r="A125" s="33">
        <v>108</v>
      </c>
      <c r="B125" s="34" t="s">
        <v>1031</v>
      </c>
      <c r="C125" s="63"/>
      <c r="D125" s="54" t="s">
        <v>1032</v>
      </c>
      <c r="E125" s="40" t="s">
        <v>1033</v>
      </c>
      <c r="F125" s="41" t="s">
        <v>1034</v>
      </c>
      <c r="G125" s="26" t="s">
        <v>47</v>
      </c>
      <c r="H125" s="28" t="s">
        <v>225</v>
      </c>
      <c r="I125" s="28" t="s">
        <v>225</v>
      </c>
      <c r="J125" s="28" t="s">
        <v>160</v>
      </c>
      <c r="K125" s="141" t="s">
        <v>690</v>
      </c>
      <c r="L125" s="141"/>
      <c r="M125" s="141"/>
      <c r="N125" s="36">
        <v>0.3</v>
      </c>
      <c r="O125" s="37" t="e">
        <f>(K125+L125+M125)*2340000</f>
        <v>#VALUE!</v>
      </c>
    </row>
    <row r="126" spans="1:15" ht="22.5" customHeight="1" x14ac:dyDescent="0.35">
      <c r="A126" s="38">
        <v>109</v>
      </c>
      <c r="B126" s="34" t="s">
        <v>1035</v>
      </c>
      <c r="C126" s="22"/>
      <c r="D126" s="42">
        <v>2696039372</v>
      </c>
      <c r="E126" s="24" t="s">
        <v>1036</v>
      </c>
      <c r="F126" s="25" t="s">
        <v>1037</v>
      </c>
      <c r="G126" s="26" t="s">
        <v>706</v>
      </c>
      <c r="H126" s="28" t="s">
        <v>225</v>
      </c>
      <c r="I126" s="28" t="s">
        <v>225</v>
      </c>
      <c r="J126" s="22" t="s">
        <v>160</v>
      </c>
      <c r="K126" s="100" t="s">
        <v>715</v>
      </c>
      <c r="L126" s="100"/>
      <c r="M126" s="100"/>
      <c r="N126" s="36">
        <v>0.3</v>
      </c>
      <c r="O126" s="37" t="e">
        <f>(K126+L126+M126)*2340000</f>
        <v>#VALUE!</v>
      </c>
    </row>
    <row r="127" spans="1:15" ht="22.5" customHeight="1" x14ac:dyDescent="0.35">
      <c r="A127" s="36">
        <v>110</v>
      </c>
      <c r="B127" s="34" t="s">
        <v>1038</v>
      </c>
      <c r="C127" s="22"/>
      <c r="D127" s="42">
        <v>2696039390</v>
      </c>
      <c r="E127" s="24" t="s">
        <v>1039</v>
      </c>
      <c r="F127" s="25" t="s">
        <v>1040</v>
      </c>
      <c r="G127" s="26" t="s">
        <v>47</v>
      </c>
      <c r="H127" s="28" t="s">
        <v>225</v>
      </c>
      <c r="I127" s="28" t="s">
        <v>225</v>
      </c>
      <c r="J127" s="28" t="s">
        <v>160</v>
      </c>
      <c r="K127" s="141" t="s">
        <v>690</v>
      </c>
      <c r="L127" s="141"/>
      <c r="M127" s="141"/>
      <c r="N127" s="36">
        <v>0.3</v>
      </c>
      <c r="O127" s="37" t="e">
        <f>(K127+L127+M127)*2340000</f>
        <v>#VALUE!</v>
      </c>
    </row>
    <row r="128" spans="1:15" ht="22.5" customHeight="1" x14ac:dyDescent="0.35">
      <c r="A128" s="85"/>
      <c r="B128" s="67"/>
      <c r="C128" s="86"/>
      <c r="D128" s="85"/>
      <c r="E128" s="87"/>
      <c r="F128" s="88"/>
      <c r="G128" s="89"/>
      <c r="H128" s="90"/>
      <c r="I128" s="90"/>
      <c r="J128" s="90"/>
      <c r="K128" s="168">
        <f>SUM(K8:K127)</f>
        <v>93.070000000000022</v>
      </c>
      <c r="L128" s="168">
        <f>SUM(L8:L127)</f>
        <v>1.1000000000000001</v>
      </c>
      <c r="M128" s="168">
        <f>SUM(M8:M127)</f>
        <v>2.9000000000000008</v>
      </c>
      <c r="N128" s="91">
        <f>SUM(N8:N127)</f>
        <v>32.700000000000045</v>
      </c>
      <c r="O128" s="91" t="e">
        <f>SUM(O8:O127)</f>
        <v>#VALUE!</v>
      </c>
    </row>
    <row r="129" ht="28.5" customHeight="1" x14ac:dyDescent="0.35"/>
  </sheetData>
  <mergeCells count="15">
    <mergeCell ref="A1:H1"/>
    <mergeCell ref="J1:O1"/>
    <mergeCell ref="A2:H2"/>
    <mergeCell ref="J2:O2"/>
    <mergeCell ref="A3:H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41"/>
  <sheetViews>
    <sheetView zoomScale="55" zoomScaleNormal="55" workbookViewId="0">
      <selection activeCell="Q16" sqref="Q16"/>
    </sheetView>
  </sheetViews>
  <sheetFormatPr defaultRowHeight="14.5" x14ac:dyDescent="0.35"/>
  <cols>
    <col min="1" max="1" width="5.26953125" style="2" bestFit="1" customWidth="1"/>
    <col min="2" max="2" width="23.453125" bestFit="1" customWidth="1"/>
    <col min="3" max="3" width="6.81640625" bestFit="1" customWidth="1"/>
    <col min="4" max="4" width="14.81640625" style="2" bestFit="1" customWidth="1"/>
    <col min="5" max="5" width="14.81640625" style="4" bestFit="1" customWidth="1"/>
    <col min="6" max="6" width="14.81640625" style="5" bestFit="1" customWidth="1"/>
    <col min="7" max="7" width="14.81640625" style="6" bestFit="1" customWidth="1"/>
    <col min="8" max="8" width="26.7265625" style="7" bestFit="1" customWidth="1"/>
    <col min="9" max="9" width="26.54296875" style="7" bestFit="1" customWidth="1"/>
    <col min="10" max="10" width="8.1796875" bestFit="1" customWidth="1"/>
    <col min="11" max="13" width="7.7265625" style="3" bestFit="1" customWidth="1"/>
    <col min="14" max="14" width="13.54296875" style="2" hidden="1" bestFit="1" customWidth="1"/>
    <col min="15" max="15" width="12.7265625" style="2" bestFit="1" customWidth="1"/>
  </cols>
  <sheetData>
    <row r="1" spans="1:15" ht="26.25" customHeight="1" x14ac:dyDescent="0.35">
      <c r="A1" s="185" t="s">
        <v>0</v>
      </c>
      <c r="B1" s="186"/>
      <c r="C1" s="186"/>
      <c r="D1" s="185"/>
      <c r="E1" s="188"/>
      <c r="F1" s="187"/>
      <c r="G1" s="207"/>
      <c r="H1" s="189"/>
      <c r="I1" s="1"/>
      <c r="J1" s="186" t="s">
        <v>1</v>
      </c>
      <c r="K1" s="185"/>
      <c r="L1" s="185"/>
      <c r="M1" s="185"/>
      <c r="N1" s="185"/>
      <c r="O1" s="185"/>
    </row>
    <row r="2" spans="1:15" ht="18" customHeight="1" x14ac:dyDescent="0.35">
      <c r="A2" s="185" t="s">
        <v>2</v>
      </c>
      <c r="B2" s="186"/>
      <c r="C2" s="186"/>
      <c r="D2" s="185"/>
      <c r="E2" s="188"/>
      <c r="F2" s="187"/>
      <c r="G2" s="207"/>
      <c r="H2" s="189"/>
      <c r="I2" s="1"/>
      <c r="J2" s="190" t="s">
        <v>3</v>
      </c>
      <c r="K2" s="191"/>
      <c r="L2" s="191"/>
      <c r="M2" s="191"/>
      <c r="N2" s="191"/>
      <c r="O2" s="191"/>
    </row>
    <row r="3" spans="1:15" ht="26.25" customHeight="1" x14ac:dyDescent="0.35">
      <c r="A3" s="185" t="s">
        <v>4</v>
      </c>
      <c r="B3" s="186"/>
      <c r="C3" s="186"/>
      <c r="D3" s="185"/>
      <c r="E3" s="188"/>
      <c r="F3" s="187"/>
      <c r="G3" s="207"/>
      <c r="H3" s="189"/>
      <c r="I3" s="1"/>
      <c r="L3" s="154"/>
    </row>
    <row r="4" spans="1:15" ht="18.75" customHeight="1" x14ac:dyDescent="0.35"/>
    <row r="5" spans="1:15" ht="37.5" customHeight="1" x14ac:dyDescent="0.35">
      <c r="A5" s="179" t="s">
        <v>5</v>
      </c>
      <c r="B5" s="202" t="s">
        <v>6</v>
      </c>
      <c r="C5" s="174" t="s">
        <v>7</v>
      </c>
      <c r="D5" s="204" t="s">
        <v>8</v>
      </c>
      <c r="E5" s="183" t="s">
        <v>9</v>
      </c>
      <c r="F5" s="172" t="s">
        <v>10</v>
      </c>
      <c r="G5" s="193" t="s">
        <v>11</v>
      </c>
      <c r="H5" s="195" t="s">
        <v>12</v>
      </c>
      <c r="I5" s="174" t="s">
        <v>13</v>
      </c>
      <c r="J5" s="198" t="s">
        <v>14</v>
      </c>
      <c r="K5" s="199"/>
      <c r="L5" s="199"/>
      <c r="M5" s="199"/>
      <c r="N5" s="199"/>
      <c r="O5" s="199"/>
    </row>
    <row r="6" spans="1:15" ht="42.75" customHeight="1" x14ac:dyDescent="0.35">
      <c r="A6" s="208"/>
      <c r="B6" s="203"/>
      <c r="C6" s="197"/>
      <c r="D6" s="205"/>
      <c r="E6" s="206"/>
      <c r="F6" s="192"/>
      <c r="G6" s="194"/>
      <c r="H6" s="196"/>
      <c r="I6" s="197"/>
      <c r="J6" s="9" t="s">
        <v>15</v>
      </c>
      <c r="K6" s="10" t="s">
        <v>16</v>
      </c>
      <c r="L6" s="10" t="s">
        <v>18</v>
      </c>
      <c r="M6" s="10" t="s">
        <v>17</v>
      </c>
      <c r="N6" s="8"/>
      <c r="O6" s="8" t="s">
        <v>19</v>
      </c>
    </row>
    <row r="7" spans="1:15" ht="31.5" customHeight="1" x14ac:dyDescent="0.35">
      <c r="A7" s="11"/>
      <c r="B7" s="12" t="s">
        <v>1405</v>
      </c>
      <c r="C7" s="13"/>
      <c r="D7" s="14"/>
      <c r="E7" s="15"/>
      <c r="F7" s="16"/>
      <c r="G7" s="17"/>
      <c r="H7" s="18"/>
      <c r="I7" s="18"/>
      <c r="J7" s="19"/>
      <c r="K7" s="166"/>
      <c r="L7" s="166"/>
      <c r="M7" s="166"/>
      <c r="N7" s="19"/>
      <c r="O7" s="19"/>
    </row>
    <row r="8" spans="1:15" ht="22.5" customHeight="1" x14ac:dyDescent="0.35">
      <c r="A8" s="20">
        <v>1</v>
      </c>
      <c r="B8" s="21" t="s">
        <v>20</v>
      </c>
      <c r="C8" s="22" t="s">
        <v>21</v>
      </c>
      <c r="D8" s="23" t="s">
        <v>22</v>
      </c>
      <c r="E8" s="24" t="s">
        <v>23</v>
      </c>
      <c r="F8" s="25" t="s">
        <v>24</v>
      </c>
      <c r="G8" s="26" t="s">
        <v>25</v>
      </c>
      <c r="H8" s="27" t="s">
        <v>26</v>
      </c>
      <c r="I8" s="28" t="s">
        <v>27</v>
      </c>
      <c r="J8" s="29" t="s">
        <v>28</v>
      </c>
      <c r="K8" s="169">
        <v>4.33</v>
      </c>
      <c r="L8" s="169">
        <v>0.5</v>
      </c>
      <c r="M8" s="169"/>
      <c r="N8" s="31">
        <v>0.3</v>
      </c>
      <c r="O8" s="32">
        <f>(K8+L8+M8)*2340000+(L8*2340000)</f>
        <v>12472200</v>
      </c>
    </row>
    <row r="9" spans="1:15" ht="22.5" customHeight="1" x14ac:dyDescent="0.35">
      <c r="A9" s="33">
        <v>2</v>
      </c>
      <c r="B9" s="34" t="s">
        <v>29</v>
      </c>
      <c r="C9" s="35"/>
      <c r="D9" s="23" t="s">
        <v>30</v>
      </c>
      <c r="E9" s="24" t="s">
        <v>31</v>
      </c>
      <c r="F9" s="25" t="s">
        <v>32</v>
      </c>
      <c r="G9" s="26" t="s">
        <v>33</v>
      </c>
      <c r="H9" s="28" t="s">
        <v>34</v>
      </c>
      <c r="I9" s="28" t="s">
        <v>27</v>
      </c>
      <c r="J9" s="28" t="s">
        <v>35</v>
      </c>
      <c r="K9" s="141" t="s">
        <v>36</v>
      </c>
      <c r="L9" s="141">
        <v>0.3</v>
      </c>
      <c r="M9" s="141"/>
      <c r="N9" s="36">
        <v>0.3</v>
      </c>
      <c r="O9" s="37" t="e">
        <f t="shared" ref="O9:O14" si="0">(K9+L9+M9)*2340000</f>
        <v>#VALUE!</v>
      </c>
    </row>
    <row r="10" spans="1:15" ht="22.5" customHeight="1" x14ac:dyDescent="0.35">
      <c r="A10" s="33">
        <v>3</v>
      </c>
      <c r="B10" s="34" t="s">
        <v>38</v>
      </c>
      <c r="C10" s="22" t="s">
        <v>21</v>
      </c>
      <c r="D10" s="23" t="s">
        <v>39</v>
      </c>
      <c r="E10" s="40" t="s">
        <v>40</v>
      </c>
      <c r="F10" s="41" t="s">
        <v>41</v>
      </c>
      <c r="G10" s="26" t="s">
        <v>42</v>
      </c>
      <c r="H10" s="28" t="s">
        <v>34</v>
      </c>
      <c r="I10" s="28" t="s">
        <v>27</v>
      </c>
      <c r="J10" s="22" t="s">
        <v>35</v>
      </c>
      <c r="K10" s="141" t="s">
        <v>36</v>
      </c>
      <c r="L10" s="100">
        <v>0.3</v>
      </c>
      <c r="M10" s="100"/>
      <c r="N10" s="36">
        <v>0.3</v>
      </c>
      <c r="O10" s="37" t="e">
        <f t="shared" si="0"/>
        <v>#VALUE!</v>
      </c>
    </row>
    <row r="11" spans="1:15" ht="22.5" customHeight="1" x14ac:dyDescent="0.35">
      <c r="A11" s="33">
        <v>4</v>
      </c>
      <c r="B11" s="34" t="s">
        <v>44</v>
      </c>
      <c r="C11" s="22"/>
      <c r="D11" s="42">
        <v>2696027214</v>
      </c>
      <c r="E11" s="24" t="s">
        <v>45</v>
      </c>
      <c r="F11" s="25" t="s">
        <v>46</v>
      </c>
      <c r="G11" s="26" t="s">
        <v>47</v>
      </c>
      <c r="H11" s="28" t="s">
        <v>48</v>
      </c>
      <c r="I11" s="43" t="s">
        <v>49</v>
      </c>
      <c r="J11" s="22" t="s">
        <v>50</v>
      </c>
      <c r="K11" s="100">
        <v>4.51</v>
      </c>
      <c r="L11" s="100"/>
      <c r="M11" s="100">
        <v>0.2</v>
      </c>
      <c r="N11" s="36">
        <v>0.3</v>
      </c>
      <c r="O11" s="37">
        <f t="shared" si="0"/>
        <v>11021400</v>
      </c>
    </row>
    <row r="12" spans="1:15" ht="22.5" customHeight="1" x14ac:dyDescent="0.35">
      <c r="A12" s="33">
        <v>5</v>
      </c>
      <c r="B12" s="34" t="s">
        <v>51</v>
      </c>
      <c r="C12" s="44" t="s">
        <v>21</v>
      </c>
      <c r="D12" s="45">
        <v>8605006302</v>
      </c>
      <c r="E12" s="40" t="s">
        <v>52</v>
      </c>
      <c r="F12" s="25" t="s">
        <v>53</v>
      </c>
      <c r="G12" s="26" t="s">
        <v>54</v>
      </c>
      <c r="H12" s="43" t="s">
        <v>55</v>
      </c>
      <c r="I12" s="43" t="s">
        <v>49</v>
      </c>
      <c r="J12" s="44" t="s">
        <v>37</v>
      </c>
      <c r="K12" s="157">
        <v>3.27</v>
      </c>
      <c r="L12" s="157"/>
      <c r="M12" s="157"/>
      <c r="N12" s="36">
        <v>0.3</v>
      </c>
      <c r="O12" s="37">
        <f t="shared" si="0"/>
        <v>7651800</v>
      </c>
    </row>
    <row r="13" spans="1:15" ht="22.5" customHeight="1" x14ac:dyDescent="0.35">
      <c r="A13" s="33">
        <v>6</v>
      </c>
      <c r="B13" s="34" t="s">
        <v>56</v>
      </c>
      <c r="C13" s="44" t="s">
        <v>21</v>
      </c>
      <c r="D13" s="23" t="s">
        <v>57</v>
      </c>
      <c r="E13" s="24" t="s">
        <v>58</v>
      </c>
      <c r="F13" s="25" t="s">
        <v>59</v>
      </c>
      <c r="G13" s="26" t="s">
        <v>60</v>
      </c>
      <c r="H13" s="43" t="s">
        <v>61</v>
      </c>
      <c r="I13" s="43" t="s">
        <v>62</v>
      </c>
      <c r="J13" s="44" t="s">
        <v>63</v>
      </c>
      <c r="K13" s="157">
        <v>2.96</v>
      </c>
      <c r="L13" s="157"/>
      <c r="M13" s="157"/>
      <c r="N13" s="36">
        <v>0.3</v>
      </c>
      <c r="O13" s="37">
        <f t="shared" si="0"/>
        <v>6926400</v>
      </c>
    </row>
    <row r="14" spans="1:15" ht="22.5" customHeight="1" x14ac:dyDescent="0.35">
      <c r="A14" s="33">
        <v>7</v>
      </c>
      <c r="B14" s="34" t="s">
        <v>64</v>
      </c>
      <c r="C14" s="44"/>
      <c r="D14" s="42">
        <v>2600003124</v>
      </c>
      <c r="E14" s="24" t="s">
        <v>65</v>
      </c>
      <c r="F14" s="25" t="s">
        <v>66</v>
      </c>
      <c r="G14" s="26" t="s">
        <v>67</v>
      </c>
      <c r="H14" s="43" t="s">
        <v>68</v>
      </c>
      <c r="I14" s="43" t="s">
        <v>69</v>
      </c>
      <c r="J14" s="44" t="s">
        <v>70</v>
      </c>
      <c r="K14" s="157">
        <v>3.6</v>
      </c>
      <c r="L14" s="157"/>
      <c r="M14" s="157"/>
      <c r="N14" s="36">
        <v>0.3</v>
      </c>
      <c r="O14" s="37">
        <f t="shared" si="0"/>
        <v>8424000</v>
      </c>
    </row>
    <row r="15" spans="1:15" ht="22.5" customHeight="1" x14ac:dyDescent="0.35">
      <c r="A15" s="46"/>
      <c r="B15" s="47" t="s">
        <v>71</v>
      </c>
      <c r="C15" s="48"/>
      <c r="D15" s="49"/>
      <c r="E15" s="49"/>
      <c r="F15" s="50"/>
      <c r="G15" s="39"/>
      <c r="H15" s="51"/>
      <c r="I15" s="51"/>
      <c r="J15" s="46"/>
      <c r="K15" s="170"/>
      <c r="L15" s="170"/>
      <c r="M15" s="170"/>
      <c r="N15" s="52"/>
      <c r="O15" s="53"/>
    </row>
    <row r="16" spans="1:15" ht="22.5" customHeight="1" x14ac:dyDescent="0.35">
      <c r="A16" s="33">
        <v>8</v>
      </c>
      <c r="B16" s="34" t="s">
        <v>72</v>
      </c>
      <c r="C16" s="44" t="s">
        <v>21</v>
      </c>
      <c r="D16" s="23" t="s">
        <v>73</v>
      </c>
      <c r="E16" s="24" t="s">
        <v>74</v>
      </c>
      <c r="F16" s="25" t="s">
        <v>75</v>
      </c>
      <c r="G16" s="26" t="s">
        <v>76</v>
      </c>
      <c r="H16" s="43" t="s">
        <v>77</v>
      </c>
      <c r="I16" s="43" t="s">
        <v>78</v>
      </c>
      <c r="J16" s="44" t="s">
        <v>43</v>
      </c>
      <c r="K16" s="157">
        <v>3.89</v>
      </c>
      <c r="L16" s="157"/>
      <c r="M16" s="157" t="s">
        <v>79</v>
      </c>
      <c r="N16" s="36">
        <v>0.3</v>
      </c>
      <c r="O16" s="37" t="e">
        <f>(K16+L16+M16)*2340000</f>
        <v>#VALUE!</v>
      </c>
    </row>
    <row r="17" spans="1:15" ht="22.5" customHeight="1" x14ac:dyDescent="0.35">
      <c r="A17" s="33">
        <v>9</v>
      </c>
      <c r="B17" s="34" t="s">
        <v>80</v>
      </c>
      <c r="C17" s="44" t="s">
        <v>21</v>
      </c>
      <c r="D17" s="54" t="s">
        <v>81</v>
      </c>
      <c r="E17" s="40" t="s">
        <v>82</v>
      </c>
      <c r="F17" s="25" t="s">
        <v>83</v>
      </c>
      <c r="G17" s="26" t="s">
        <v>84</v>
      </c>
      <c r="H17" s="43" t="s">
        <v>85</v>
      </c>
      <c r="I17" s="43" t="s">
        <v>49</v>
      </c>
      <c r="J17" s="44" t="s">
        <v>37</v>
      </c>
      <c r="K17" s="157">
        <v>3.27</v>
      </c>
      <c r="L17" s="157"/>
      <c r="M17" s="157"/>
      <c r="N17" s="36">
        <v>0.3</v>
      </c>
      <c r="O17" s="37">
        <f>(K17+L17+M17)*2340000</f>
        <v>7651800</v>
      </c>
    </row>
    <row r="18" spans="1:15" ht="22.5" customHeight="1" x14ac:dyDescent="0.35">
      <c r="A18" s="33">
        <v>10</v>
      </c>
      <c r="B18" s="34" t="s">
        <v>86</v>
      </c>
      <c r="C18" s="44" t="s">
        <v>21</v>
      </c>
      <c r="D18" s="54" t="s">
        <v>87</v>
      </c>
      <c r="E18" s="40">
        <v>34017</v>
      </c>
      <c r="F18" s="25" t="s">
        <v>88</v>
      </c>
      <c r="G18" s="26" t="s">
        <v>89</v>
      </c>
      <c r="H18" s="43" t="s">
        <v>85</v>
      </c>
      <c r="I18" s="43" t="s">
        <v>49</v>
      </c>
      <c r="J18" s="44" t="s">
        <v>90</v>
      </c>
      <c r="K18" s="157">
        <v>2.65</v>
      </c>
      <c r="L18" s="157"/>
      <c r="M18" s="157"/>
      <c r="N18" s="36">
        <v>0.3</v>
      </c>
      <c r="O18" s="37">
        <f>(K18+L18+M18)*2340000</f>
        <v>6201000</v>
      </c>
    </row>
    <row r="19" spans="1:15" ht="22.5" customHeight="1" x14ac:dyDescent="0.35">
      <c r="A19" s="33">
        <v>11</v>
      </c>
      <c r="B19" s="34" t="s">
        <v>91</v>
      </c>
      <c r="C19" s="44" t="s">
        <v>21</v>
      </c>
      <c r="D19" s="42">
        <v>3408007109</v>
      </c>
      <c r="E19" s="24" t="s">
        <v>92</v>
      </c>
      <c r="F19" s="25" t="s">
        <v>93</v>
      </c>
      <c r="G19" s="26" t="s">
        <v>94</v>
      </c>
      <c r="H19" s="43" t="s">
        <v>95</v>
      </c>
      <c r="I19" s="43" t="s">
        <v>49</v>
      </c>
      <c r="J19" s="44" t="s">
        <v>96</v>
      </c>
      <c r="K19" s="157">
        <v>3.58</v>
      </c>
      <c r="L19" s="157"/>
      <c r="M19" s="157">
        <v>0.1</v>
      </c>
      <c r="N19" s="36">
        <v>0.3</v>
      </c>
      <c r="O19" s="37">
        <f>(K19+L19+M19)*2340000</f>
        <v>8611200</v>
      </c>
    </row>
    <row r="20" spans="1:15" ht="22.5" customHeight="1" x14ac:dyDescent="0.35">
      <c r="A20" s="46"/>
      <c r="B20" s="47" t="s">
        <v>97</v>
      </c>
      <c r="C20" s="48"/>
      <c r="D20" s="49"/>
      <c r="E20" s="49"/>
      <c r="F20" s="50"/>
      <c r="G20" s="39"/>
      <c r="H20" s="51"/>
      <c r="I20" s="51"/>
      <c r="J20" s="46"/>
      <c r="K20" s="170"/>
      <c r="L20" s="170"/>
      <c r="M20" s="170"/>
      <c r="N20" s="52"/>
      <c r="O20" s="53"/>
    </row>
    <row r="21" spans="1:15" ht="22.5" customHeight="1" x14ac:dyDescent="0.35">
      <c r="A21" s="33">
        <v>12</v>
      </c>
      <c r="B21" s="34" t="s">
        <v>98</v>
      </c>
      <c r="C21" s="44"/>
      <c r="D21" s="23" t="s">
        <v>99</v>
      </c>
      <c r="E21" s="24" t="s">
        <v>100</v>
      </c>
      <c r="F21" s="25" t="s">
        <v>101</v>
      </c>
      <c r="G21" s="26" t="s">
        <v>102</v>
      </c>
      <c r="H21" s="43" t="s">
        <v>77</v>
      </c>
      <c r="I21" s="28" t="s">
        <v>27</v>
      </c>
      <c r="J21" s="44" t="s">
        <v>43</v>
      </c>
      <c r="K21" s="157">
        <v>3.89</v>
      </c>
      <c r="L21" s="157"/>
      <c r="M21" s="157">
        <v>0.2</v>
      </c>
      <c r="N21" s="36">
        <v>0.3</v>
      </c>
      <c r="O21" s="37">
        <f>(K21+L21+M21)*2340000</f>
        <v>9570600</v>
      </c>
    </row>
    <row r="22" spans="1:15" ht="22.5" customHeight="1" x14ac:dyDescent="0.35">
      <c r="A22" s="33">
        <v>13</v>
      </c>
      <c r="B22" s="34" t="s">
        <v>103</v>
      </c>
      <c r="C22" s="22" t="s">
        <v>21</v>
      </c>
      <c r="D22" s="54" t="s">
        <v>104</v>
      </c>
      <c r="E22" s="40" t="s">
        <v>105</v>
      </c>
      <c r="F22" s="25" t="s">
        <v>106</v>
      </c>
      <c r="G22" s="26" t="s">
        <v>107</v>
      </c>
      <c r="H22" s="28" t="s">
        <v>108</v>
      </c>
      <c r="I22" s="28" t="s">
        <v>27</v>
      </c>
      <c r="J22" s="22" t="s">
        <v>90</v>
      </c>
      <c r="K22" s="100">
        <v>2.65</v>
      </c>
      <c r="L22" s="100"/>
      <c r="M22" s="100"/>
      <c r="N22" s="36">
        <v>0.3</v>
      </c>
      <c r="O22" s="37">
        <f>(K22+L22+M22)*2340000</f>
        <v>6201000</v>
      </c>
    </row>
    <row r="23" spans="1:15" ht="22.5" customHeight="1" x14ac:dyDescent="0.35">
      <c r="A23" s="33">
        <v>14</v>
      </c>
      <c r="B23" s="34" t="s">
        <v>109</v>
      </c>
      <c r="C23" s="22" t="s">
        <v>21</v>
      </c>
      <c r="D23" s="54" t="s">
        <v>110</v>
      </c>
      <c r="E23" s="40" t="s">
        <v>111</v>
      </c>
      <c r="F23" s="25" t="s">
        <v>112</v>
      </c>
      <c r="G23" s="26" t="s">
        <v>113</v>
      </c>
      <c r="H23" s="28" t="s">
        <v>108</v>
      </c>
      <c r="I23" s="28" t="s">
        <v>27</v>
      </c>
      <c r="J23" s="22" t="s">
        <v>63</v>
      </c>
      <c r="K23" s="100">
        <v>2.96</v>
      </c>
      <c r="L23" s="100"/>
      <c r="M23" s="100"/>
      <c r="N23" s="36">
        <v>0.3</v>
      </c>
      <c r="O23" s="37">
        <f>(K23+L23+M23)*2340000</f>
        <v>6926400</v>
      </c>
    </row>
    <row r="24" spans="1:15" ht="23.25" customHeight="1" x14ac:dyDescent="0.35">
      <c r="A24" s="33">
        <v>15</v>
      </c>
      <c r="B24" s="34" t="s">
        <v>114</v>
      </c>
      <c r="C24" s="22" t="s">
        <v>21</v>
      </c>
      <c r="D24" s="23" t="s">
        <v>115</v>
      </c>
      <c r="E24" s="24" t="s">
        <v>116</v>
      </c>
      <c r="F24" s="25" t="s">
        <v>117</v>
      </c>
      <c r="G24" s="26" t="s">
        <v>118</v>
      </c>
      <c r="H24" s="28" t="s">
        <v>108</v>
      </c>
      <c r="I24" s="28" t="s">
        <v>27</v>
      </c>
      <c r="J24" s="22" t="s">
        <v>96</v>
      </c>
      <c r="K24" s="100">
        <v>3.58</v>
      </c>
      <c r="L24" s="100"/>
      <c r="M24" s="100"/>
      <c r="N24" s="36">
        <v>0.3</v>
      </c>
      <c r="O24" s="37">
        <f>(K24+L24+M24)*2340000</f>
        <v>8377200</v>
      </c>
    </row>
    <row r="25" spans="1:15" ht="23.25" customHeight="1" x14ac:dyDescent="0.35">
      <c r="A25" s="46"/>
      <c r="B25" s="47" t="s">
        <v>1110</v>
      </c>
      <c r="C25" s="35"/>
      <c r="D25" s="49"/>
      <c r="E25" s="49"/>
      <c r="F25" s="50"/>
      <c r="G25" s="39"/>
      <c r="H25" s="55"/>
      <c r="I25" s="55"/>
      <c r="J25" s="39"/>
      <c r="K25" s="159"/>
      <c r="L25" s="159"/>
      <c r="M25" s="159"/>
      <c r="N25" s="52"/>
      <c r="O25" s="53"/>
    </row>
    <row r="26" spans="1:15" ht="22.5" customHeight="1" x14ac:dyDescent="0.35">
      <c r="A26" s="33">
        <v>16</v>
      </c>
      <c r="B26" s="34" t="s">
        <v>119</v>
      </c>
      <c r="C26" s="22"/>
      <c r="D26" s="42">
        <v>3414008241</v>
      </c>
      <c r="E26" s="40" t="s">
        <v>120</v>
      </c>
      <c r="F26" s="25" t="s">
        <v>121</v>
      </c>
      <c r="G26" s="26" t="s">
        <v>122</v>
      </c>
      <c r="H26" s="28" t="s">
        <v>123</v>
      </c>
      <c r="I26" s="28" t="s">
        <v>27</v>
      </c>
      <c r="J26" s="22" t="s">
        <v>37</v>
      </c>
      <c r="K26" s="100">
        <v>3.27</v>
      </c>
      <c r="L26" s="100"/>
      <c r="M26" s="100" t="s">
        <v>79</v>
      </c>
      <c r="N26" s="36">
        <v>0.3</v>
      </c>
      <c r="O26" s="37" t="e">
        <f>(K26+L26+M26)*2340000</f>
        <v>#VALUE!</v>
      </c>
    </row>
    <row r="27" spans="1:15" ht="22.5" customHeight="1" x14ac:dyDescent="0.35">
      <c r="A27" s="33">
        <v>17</v>
      </c>
      <c r="B27" s="34" t="s">
        <v>124</v>
      </c>
      <c r="C27" s="22"/>
      <c r="D27" s="23" t="s">
        <v>125</v>
      </c>
      <c r="E27" s="24" t="s">
        <v>126</v>
      </c>
      <c r="F27" s="25" t="s">
        <v>127</v>
      </c>
      <c r="G27" s="26" t="s">
        <v>128</v>
      </c>
      <c r="H27" s="28" t="s">
        <v>129</v>
      </c>
      <c r="I27" s="28" t="s">
        <v>129</v>
      </c>
      <c r="J27" s="28" t="s">
        <v>130</v>
      </c>
      <c r="K27" s="100">
        <v>3.19</v>
      </c>
      <c r="L27" s="100"/>
      <c r="M27" s="100"/>
      <c r="N27" s="36">
        <v>0.3</v>
      </c>
      <c r="O27" s="37">
        <f>(K27+L27+M27)*2340000</f>
        <v>7464600</v>
      </c>
    </row>
    <row r="28" spans="1:15" ht="22.5" customHeight="1" x14ac:dyDescent="0.35">
      <c r="A28" s="33">
        <v>18</v>
      </c>
      <c r="B28" s="34" t="s">
        <v>131</v>
      </c>
      <c r="C28" s="22"/>
      <c r="D28" s="23" t="s">
        <v>132</v>
      </c>
      <c r="E28" s="24" t="s">
        <v>133</v>
      </c>
      <c r="F28" s="25" t="s">
        <v>134</v>
      </c>
      <c r="G28" s="26" t="s">
        <v>135</v>
      </c>
      <c r="H28" s="28" t="s">
        <v>136</v>
      </c>
      <c r="I28" s="28" t="s">
        <v>136</v>
      </c>
      <c r="J28" s="22" t="s">
        <v>137</v>
      </c>
      <c r="K28" s="100">
        <v>2.16</v>
      </c>
      <c r="L28" s="100"/>
      <c r="M28" s="100"/>
      <c r="N28" s="36">
        <v>0.3</v>
      </c>
      <c r="O28" s="37">
        <f>(K28+L28+M28)*2340000</f>
        <v>5054400</v>
      </c>
    </row>
    <row r="29" spans="1:15" ht="22.5" customHeight="1" x14ac:dyDescent="0.35">
      <c r="A29" s="33">
        <v>19</v>
      </c>
      <c r="B29" s="34" t="s">
        <v>138</v>
      </c>
      <c r="C29" s="22"/>
      <c r="D29" s="42">
        <v>3410013970</v>
      </c>
      <c r="E29" s="24" t="s">
        <v>139</v>
      </c>
      <c r="F29" s="25" t="s">
        <v>140</v>
      </c>
      <c r="G29" s="26" t="s">
        <v>128</v>
      </c>
      <c r="H29" s="28" t="s">
        <v>136</v>
      </c>
      <c r="I29" s="28" t="s">
        <v>129</v>
      </c>
      <c r="J29" s="22" t="s">
        <v>130</v>
      </c>
      <c r="K29" s="100">
        <v>3.19</v>
      </c>
      <c r="L29" s="100"/>
      <c r="M29" s="100"/>
      <c r="N29" s="36">
        <v>0.3</v>
      </c>
      <c r="O29" s="37">
        <f>(K29+L29+M29)*2340000</f>
        <v>7464600</v>
      </c>
    </row>
    <row r="30" spans="1:15" ht="22.5" customHeight="1" x14ac:dyDescent="0.35">
      <c r="A30" s="46"/>
      <c r="B30" s="47" t="s">
        <v>141</v>
      </c>
      <c r="C30" s="35"/>
      <c r="D30" s="49"/>
      <c r="E30" s="49"/>
      <c r="F30" s="50"/>
      <c r="G30" s="39"/>
      <c r="H30" s="52"/>
      <c r="I30" s="52"/>
      <c r="J30" s="39"/>
      <c r="K30" s="159"/>
      <c r="L30" s="159"/>
      <c r="M30" s="159"/>
      <c r="N30" s="52"/>
      <c r="O30" s="53"/>
    </row>
    <row r="31" spans="1:15" ht="22.5" customHeight="1" x14ac:dyDescent="0.35">
      <c r="A31" s="33">
        <v>20</v>
      </c>
      <c r="B31" s="34" t="s">
        <v>142</v>
      </c>
      <c r="C31" s="22"/>
      <c r="D31" s="42">
        <v>2606003275</v>
      </c>
      <c r="E31" s="24" t="s">
        <v>143</v>
      </c>
      <c r="F31" s="25" t="s">
        <v>144</v>
      </c>
      <c r="G31" s="26" t="s">
        <v>118</v>
      </c>
      <c r="H31" s="28" t="s">
        <v>145</v>
      </c>
      <c r="I31" s="28" t="s">
        <v>27</v>
      </c>
      <c r="J31" s="22" t="s">
        <v>96</v>
      </c>
      <c r="K31" s="100">
        <v>3.58</v>
      </c>
      <c r="L31" s="100"/>
      <c r="M31" s="100">
        <v>0.2</v>
      </c>
      <c r="N31" s="36">
        <v>0.3</v>
      </c>
      <c r="O31" s="37">
        <f t="shared" ref="O31:O41" si="1">(K31+L31+M31)*2340000</f>
        <v>8845200</v>
      </c>
    </row>
    <row r="32" spans="1:15" ht="22.5" customHeight="1" x14ac:dyDescent="0.35">
      <c r="A32" s="33">
        <v>21</v>
      </c>
      <c r="B32" s="34" t="s">
        <v>146</v>
      </c>
      <c r="C32" s="22"/>
      <c r="D32" s="54" t="s">
        <v>147</v>
      </c>
      <c r="E32" s="40" t="s">
        <v>148</v>
      </c>
      <c r="F32" s="25" t="s">
        <v>149</v>
      </c>
      <c r="G32" s="26">
        <v>42217</v>
      </c>
      <c r="H32" s="28" t="s">
        <v>150</v>
      </c>
      <c r="I32" s="28" t="s">
        <v>27</v>
      </c>
      <c r="J32" s="22" t="s">
        <v>90</v>
      </c>
      <c r="K32" s="100">
        <v>2.65</v>
      </c>
      <c r="L32" s="100"/>
      <c r="M32" s="100"/>
      <c r="N32" s="36">
        <v>0.3</v>
      </c>
      <c r="O32" s="37">
        <f t="shared" si="1"/>
        <v>6201000</v>
      </c>
    </row>
    <row r="33" spans="1:15" ht="22.5" customHeight="1" x14ac:dyDescent="0.35">
      <c r="A33" s="33">
        <v>22</v>
      </c>
      <c r="B33" s="34" t="s">
        <v>151</v>
      </c>
      <c r="C33" s="22" t="s">
        <v>21</v>
      </c>
      <c r="D33" s="54" t="s">
        <v>152</v>
      </c>
      <c r="E33" s="40">
        <v>36386</v>
      </c>
      <c r="F33" s="25" t="s">
        <v>153</v>
      </c>
      <c r="G33" s="26" t="s">
        <v>154</v>
      </c>
      <c r="H33" s="28" t="s">
        <v>150</v>
      </c>
      <c r="I33" s="28" t="s">
        <v>27</v>
      </c>
      <c r="J33" s="22" t="s">
        <v>155</v>
      </c>
      <c r="K33" s="100">
        <v>2.34</v>
      </c>
      <c r="L33" s="100"/>
      <c r="M33" s="100"/>
      <c r="N33" s="36">
        <v>0.3</v>
      </c>
      <c r="O33" s="37">
        <f t="shared" si="1"/>
        <v>5475600</v>
      </c>
    </row>
    <row r="34" spans="1:15" ht="22.5" customHeight="1" x14ac:dyDescent="0.35">
      <c r="A34" s="33">
        <v>23</v>
      </c>
      <c r="B34" s="34" t="s">
        <v>156</v>
      </c>
      <c r="C34" s="22"/>
      <c r="D34" s="23" t="s">
        <v>157</v>
      </c>
      <c r="E34" s="24" t="s">
        <v>158</v>
      </c>
      <c r="F34" s="25" t="s">
        <v>159</v>
      </c>
      <c r="G34" s="26">
        <v>34669</v>
      </c>
      <c r="H34" s="28" t="s">
        <v>136</v>
      </c>
      <c r="I34" s="28" t="s">
        <v>136</v>
      </c>
      <c r="J34" s="28" t="s">
        <v>160</v>
      </c>
      <c r="K34" s="100">
        <v>3.56</v>
      </c>
      <c r="L34" s="100"/>
      <c r="M34" s="100"/>
      <c r="N34" s="36">
        <v>0.3</v>
      </c>
      <c r="O34" s="37">
        <f t="shared" si="1"/>
        <v>8330400</v>
      </c>
    </row>
    <row r="35" spans="1:15" ht="22.5" customHeight="1" x14ac:dyDescent="0.35">
      <c r="A35" s="33">
        <v>25</v>
      </c>
      <c r="B35" s="34" t="s">
        <v>161</v>
      </c>
      <c r="C35" s="22"/>
      <c r="D35" s="42">
        <v>2696027272</v>
      </c>
      <c r="E35" s="24" t="s">
        <v>162</v>
      </c>
      <c r="F35" s="25" t="s">
        <v>163</v>
      </c>
      <c r="G35" s="26">
        <v>32568</v>
      </c>
      <c r="H35" s="28" t="s">
        <v>136</v>
      </c>
      <c r="I35" s="28" t="s">
        <v>136</v>
      </c>
      <c r="J35" s="22" t="s">
        <v>164</v>
      </c>
      <c r="K35" s="100">
        <v>4.2</v>
      </c>
      <c r="L35" s="100"/>
      <c r="M35" s="100"/>
      <c r="N35" s="36">
        <v>0.3</v>
      </c>
      <c r="O35" s="37">
        <f t="shared" si="1"/>
        <v>9828000</v>
      </c>
    </row>
    <row r="36" spans="1:15" ht="22.5" customHeight="1" x14ac:dyDescent="0.35">
      <c r="A36" s="33">
        <v>26</v>
      </c>
      <c r="B36" s="34" t="s">
        <v>166</v>
      </c>
      <c r="C36" s="22"/>
      <c r="D36" s="23" t="s">
        <v>167</v>
      </c>
      <c r="E36" s="24" t="s">
        <v>168</v>
      </c>
      <c r="F36" s="25" t="s">
        <v>169</v>
      </c>
      <c r="G36" s="26">
        <v>36495</v>
      </c>
      <c r="H36" s="28" t="s">
        <v>170</v>
      </c>
      <c r="I36" s="28" t="s">
        <v>136</v>
      </c>
      <c r="J36" s="28" t="s">
        <v>160</v>
      </c>
      <c r="K36" s="100">
        <v>3.56</v>
      </c>
      <c r="L36" s="100"/>
      <c r="M36" s="100">
        <v>0.1</v>
      </c>
      <c r="N36" s="36">
        <v>0.3</v>
      </c>
      <c r="O36" s="37">
        <f t="shared" si="1"/>
        <v>8564400</v>
      </c>
    </row>
    <row r="37" spans="1:15" ht="22.5" customHeight="1" x14ac:dyDescent="0.35">
      <c r="A37" s="33">
        <v>27</v>
      </c>
      <c r="B37" s="34" t="s">
        <v>171</v>
      </c>
      <c r="C37" s="22" t="s">
        <v>21</v>
      </c>
      <c r="D37" s="23" t="s">
        <v>172</v>
      </c>
      <c r="E37" s="24" t="s">
        <v>173</v>
      </c>
      <c r="F37" s="25" t="s">
        <v>174</v>
      </c>
      <c r="G37" s="26">
        <v>39083</v>
      </c>
      <c r="H37" s="28" t="s">
        <v>136</v>
      </c>
      <c r="I37" s="28" t="s">
        <v>136</v>
      </c>
      <c r="J37" s="22" t="s">
        <v>175</v>
      </c>
      <c r="K37" s="100">
        <v>2.5499999999999998</v>
      </c>
      <c r="L37" s="100"/>
      <c r="M37" s="100"/>
      <c r="N37" s="36">
        <v>0.3</v>
      </c>
      <c r="O37" s="37">
        <f t="shared" si="1"/>
        <v>5967000</v>
      </c>
    </row>
    <row r="38" spans="1:15" ht="22.5" customHeight="1" x14ac:dyDescent="0.35">
      <c r="A38" s="33">
        <v>28</v>
      </c>
      <c r="B38" s="34" t="s">
        <v>177</v>
      </c>
      <c r="C38" s="22" t="s">
        <v>21</v>
      </c>
      <c r="D38" s="42">
        <v>2606003278</v>
      </c>
      <c r="E38" s="24" t="s">
        <v>178</v>
      </c>
      <c r="F38" s="25" t="s">
        <v>179</v>
      </c>
      <c r="G38" s="26" t="s">
        <v>118</v>
      </c>
      <c r="H38" s="28" t="s">
        <v>136</v>
      </c>
      <c r="I38" s="28" t="s">
        <v>180</v>
      </c>
      <c r="J38" s="22" t="s">
        <v>181</v>
      </c>
      <c r="K38" s="100">
        <v>3.51</v>
      </c>
      <c r="L38" s="100"/>
      <c r="M38" s="100"/>
      <c r="N38" s="36">
        <v>0.3</v>
      </c>
      <c r="O38" s="37">
        <f t="shared" si="1"/>
        <v>8213399.9999999991</v>
      </c>
    </row>
    <row r="39" spans="1:15" ht="22.5" customHeight="1" x14ac:dyDescent="0.35">
      <c r="A39" s="33">
        <v>29</v>
      </c>
      <c r="B39" s="34" t="s">
        <v>182</v>
      </c>
      <c r="C39" s="22" t="s">
        <v>21</v>
      </c>
      <c r="D39" s="23" t="s">
        <v>183</v>
      </c>
      <c r="E39" s="24" t="s">
        <v>184</v>
      </c>
      <c r="F39" s="25" t="s">
        <v>185</v>
      </c>
      <c r="G39" s="26">
        <v>44228</v>
      </c>
      <c r="H39" s="28" t="s">
        <v>136</v>
      </c>
      <c r="I39" s="28" t="s">
        <v>136</v>
      </c>
      <c r="J39" s="22" t="s">
        <v>175</v>
      </c>
      <c r="K39" s="100">
        <v>2.5499999999999998</v>
      </c>
      <c r="L39" s="100"/>
      <c r="M39" s="100"/>
      <c r="N39" s="36">
        <v>0.3</v>
      </c>
      <c r="O39" s="37">
        <f t="shared" si="1"/>
        <v>5967000</v>
      </c>
    </row>
    <row r="40" spans="1:15" ht="22.5" customHeight="1" x14ac:dyDescent="0.35">
      <c r="A40" s="33">
        <v>30</v>
      </c>
      <c r="B40" s="34" t="s">
        <v>186</v>
      </c>
      <c r="C40" s="22"/>
      <c r="D40" s="23" t="s">
        <v>187</v>
      </c>
      <c r="E40" s="24" t="s">
        <v>188</v>
      </c>
      <c r="F40" s="25" t="s">
        <v>189</v>
      </c>
      <c r="G40" s="26">
        <v>46023</v>
      </c>
      <c r="H40" s="28" t="s">
        <v>136</v>
      </c>
      <c r="I40" s="28" t="s">
        <v>136</v>
      </c>
      <c r="J40" s="22" t="s">
        <v>190</v>
      </c>
      <c r="K40" s="100">
        <v>1.83</v>
      </c>
      <c r="L40" s="100"/>
      <c r="M40" s="100"/>
      <c r="N40" s="36">
        <v>0.3</v>
      </c>
      <c r="O40" s="37">
        <f t="shared" si="1"/>
        <v>4282200</v>
      </c>
    </row>
    <row r="41" spans="1:15" ht="22.5" customHeight="1" x14ac:dyDescent="0.35">
      <c r="A41" s="33">
        <v>31</v>
      </c>
      <c r="B41" s="34" t="s">
        <v>191</v>
      </c>
      <c r="C41" s="22"/>
      <c r="D41" s="42">
        <v>2604004208</v>
      </c>
      <c r="E41" s="24" t="s">
        <v>192</v>
      </c>
      <c r="F41" s="25" t="s">
        <v>193</v>
      </c>
      <c r="G41" s="26">
        <v>37803</v>
      </c>
      <c r="H41" s="28" t="s">
        <v>136</v>
      </c>
      <c r="I41" s="28" t="s">
        <v>136</v>
      </c>
      <c r="J41" s="28" t="s">
        <v>160</v>
      </c>
      <c r="K41" s="100">
        <v>3.56</v>
      </c>
      <c r="L41" s="100"/>
      <c r="M41" s="100"/>
      <c r="N41" s="36">
        <v>0.3</v>
      </c>
      <c r="O41" s="37">
        <f t="shared" si="1"/>
        <v>8330400</v>
      </c>
    </row>
    <row r="42" spans="1:15" ht="22.5" customHeight="1" x14ac:dyDescent="0.35">
      <c r="A42" s="46"/>
      <c r="B42" s="47" t="s">
        <v>194</v>
      </c>
      <c r="C42" s="35"/>
      <c r="D42" s="49"/>
      <c r="E42" s="49"/>
      <c r="F42" s="50"/>
      <c r="G42" s="56"/>
      <c r="H42" s="52"/>
      <c r="I42" s="52"/>
      <c r="J42" s="52"/>
      <c r="K42" s="159"/>
      <c r="L42" s="159"/>
      <c r="M42" s="159"/>
      <c r="N42" s="52"/>
      <c r="O42" s="53"/>
    </row>
    <row r="43" spans="1:15" ht="22.5" customHeight="1" x14ac:dyDescent="0.35">
      <c r="A43" s="33">
        <v>32</v>
      </c>
      <c r="B43" s="34" t="s">
        <v>38</v>
      </c>
      <c r="C43" s="22" t="s">
        <v>21</v>
      </c>
      <c r="D43" s="42">
        <v>2696027230</v>
      </c>
      <c r="E43" s="24" t="s">
        <v>195</v>
      </c>
      <c r="F43" s="25" t="s">
        <v>196</v>
      </c>
      <c r="G43" s="26" t="s">
        <v>197</v>
      </c>
      <c r="H43" s="28" t="s">
        <v>145</v>
      </c>
      <c r="I43" s="28" t="s">
        <v>27</v>
      </c>
      <c r="J43" s="22" t="s">
        <v>198</v>
      </c>
      <c r="K43" s="100">
        <v>4.2</v>
      </c>
      <c r="L43" s="100"/>
      <c r="M43" s="100">
        <v>0.2</v>
      </c>
      <c r="N43" s="36">
        <v>0.3</v>
      </c>
      <c r="O43" s="37">
        <f t="shared" ref="O43:O54" si="2">(K43+L43+M43)*2340000</f>
        <v>10296000</v>
      </c>
    </row>
    <row r="44" spans="1:15" ht="22.5" customHeight="1" x14ac:dyDescent="0.35">
      <c r="A44" s="33">
        <v>33</v>
      </c>
      <c r="B44" s="34" t="s">
        <v>199</v>
      </c>
      <c r="C44" s="22" t="s">
        <v>21</v>
      </c>
      <c r="D44" s="42">
        <v>2606003279</v>
      </c>
      <c r="E44" s="24" t="s">
        <v>200</v>
      </c>
      <c r="F44" s="25" t="s">
        <v>201</v>
      </c>
      <c r="G44" s="26" t="s">
        <v>118</v>
      </c>
      <c r="H44" s="28" t="s">
        <v>150</v>
      </c>
      <c r="I44" s="28" t="s">
        <v>27</v>
      </c>
      <c r="J44" s="22" t="s">
        <v>37</v>
      </c>
      <c r="K44" s="100">
        <v>3.27</v>
      </c>
      <c r="L44" s="100"/>
      <c r="M44" s="100"/>
      <c r="N44" s="36">
        <v>0.3</v>
      </c>
      <c r="O44" s="37">
        <f t="shared" si="2"/>
        <v>7651800</v>
      </c>
    </row>
    <row r="45" spans="1:15" ht="22.5" customHeight="1" x14ac:dyDescent="0.35">
      <c r="A45" s="33">
        <v>34</v>
      </c>
      <c r="B45" s="34" t="s">
        <v>202</v>
      </c>
      <c r="C45" s="22"/>
      <c r="D45" s="42">
        <v>3412004359</v>
      </c>
      <c r="E45" s="40" t="s">
        <v>203</v>
      </c>
      <c r="F45" s="25" t="s">
        <v>204</v>
      </c>
      <c r="G45" s="26" t="s">
        <v>205</v>
      </c>
      <c r="H45" s="28" t="s">
        <v>150</v>
      </c>
      <c r="I45" s="28" t="s">
        <v>27</v>
      </c>
      <c r="J45" s="22" t="s">
        <v>96</v>
      </c>
      <c r="K45" s="100">
        <v>3.58</v>
      </c>
      <c r="L45" s="100"/>
      <c r="M45" s="100"/>
      <c r="N45" s="36">
        <v>0.3</v>
      </c>
      <c r="O45" s="37">
        <f t="shared" si="2"/>
        <v>8377200</v>
      </c>
    </row>
    <row r="46" spans="1:15" ht="22.5" customHeight="1" x14ac:dyDescent="0.35">
      <c r="A46" s="33">
        <v>35</v>
      </c>
      <c r="B46" s="34" t="s">
        <v>206</v>
      </c>
      <c r="C46" s="22" t="s">
        <v>21</v>
      </c>
      <c r="D46" s="42">
        <v>2696027253</v>
      </c>
      <c r="E46" s="24" t="s">
        <v>207</v>
      </c>
      <c r="F46" s="25" t="s">
        <v>208</v>
      </c>
      <c r="G46" s="26" t="s">
        <v>209</v>
      </c>
      <c r="H46" s="28" t="s">
        <v>136</v>
      </c>
      <c r="I46" s="28" t="s">
        <v>136</v>
      </c>
      <c r="J46" s="22" t="s">
        <v>164</v>
      </c>
      <c r="K46" s="100">
        <v>4.2</v>
      </c>
      <c r="L46" s="100"/>
      <c r="M46" s="100"/>
      <c r="N46" s="36">
        <v>0.3</v>
      </c>
      <c r="O46" s="37">
        <f t="shared" si="2"/>
        <v>9828000</v>
      </c>
    </row>
    <row r="47" spans="1:15" ht="22.5" customHeight="1" x14ac:dyDescent="0.35">
      <c r="A47" s="33">
        <v>36</v>
      </c>
      <c r="B47" s="34" t="s">
        <v>210</v>
      </c>
      <c r="C47" s="22"/>
      <c r="D47" s="23" t="s">
        <v>211</v>
      </c>
      <c r="E47" s="24" t="s">
        <v>212</v>
      </c>
      <c r="F47" s="25" t="s">
        <v>213</v>
      </c>
      <c r="G47" s="26" t="s">
        <v>214</v>
      </c>
      <c r="H47" s="28" t="s">
        <v>136</v>
      </c>
      <c r="I47" s="28" t="s">
        <v>136</v>
      </c>
      <c r="J47" s="28" t="s">
        <v>160</v>
      </c>
      <c r="K47" s="100">
        <v>3.56</v>
      </c>
      <c r="L47" s="100"/>
      <c r="M47" s="100"/>
      <c r="N47" s="36">
        <v>0.3</v>
      </c>
      <c r="O47" s="37">
        <f t="shared" si="2"/>
        <v>8330400</v>
      </c>
    </row>
    <row r="48" spans="1:15" ht="22.5" customHeight="1" x14ac:dyDescent="0.35">
      <c r="A48" s="33">
        <v>37</v>
      </c>
      <c r="B48" s="34" t="s">
        <v>215</v>
      </c>
      <c r="C48" s="22"/>
      <c r="D48" s="42">
        <v>3411000511</v>
      </c>
      <c r="E48" s="24" t="s">
        <v>216</v>
      </c>
      <c r="F48" s="25" t="s">
        <v>217</v>
      </c>
      <c r="G48" s="26" t="s">
        <v>128</v>
      </c>
      <c r="H48" s="28" t="s">
        <v>170</v>
      </c>
      <c r="I48" s="28" t="s">
        <v>136</v>
      </c>
      <c r="J48" s="28" t="s">
        <v>130</v>
      </c>
      <c r="K48" s="141">
        <v>3.01</v>
      </c>
      <c r="L48" s="100"/>
      <c r="M48" s="100" t="s">
        <v>218</v>
      </c>
      <c r="N48" s="36">
        <v>0.3</v>
      </c>
      <c r="O48" s="37" t="e">
        <f t="shared" si="2"/>
        <v>#VALUE!</v>
      </c>
    </row>
    <row r="49" spans="1:15" ht="22.5" customHeight="1" x14ac:dyDescent="0.35">
      <c r="A49" s="33">
        <v>38</v>
      </c>
      <c r="B49" s="34" t="s">
        <v>220</v>
      </c>
      <c r="C49" s="22"/>
      <c r="D49" s="23" t="s">
        <v>221</v>
      </c>
      <c r="E49" s="40" t="s">
        <v>222</v>
      </c>
      <c r="F49" s="25" t="s">
        <v>223</v>
      </c>
      <c r="G49" s="26" t="s">
        <v>224</v>
      </c>
      <c r="H49" s="28" t="s">
        <v>225</v>
      </c>
      <c r="I49" s="28" t="s">
        <v>225</v>
      </c>
      <c r="J49" s="28" t="s">
        <v>130</v>
      </c>
      <c r="K49" s="100">
        <v>3.01</v>
      </c>
      <c r="L49" s="100"/>
      <c r="M49" s="100"/>
      <c r="N49" s="36">
        <v>0.3</v>
      </c>
      <c r="O49" s="37">
        <f t="shared" si="2"/>
        <v>7043399.9999999991</v>
      </c>
    </row>
    <row r="50" spans="1:15" ht="22.5" customHeight="1" x14ac:dyDescent="0.35">
      <c r="A50" s="33">
        <v>39</v>
      </c>
      <c r="B50" s="34" t="s">
        <v>226</v>
      </c>
      <c r="C50" s="22" t="s">
        <v>21</v>
      </c>
      <c r="D50" s="54" t="s">
        <v>227</v>
      </c>
      <c r="E50" s="40" t="s">
        <v>228</v>
      </c>
      <c r="F50" s="25" t="s">
        <v>229</v>
      </c>
      <c r="G50" s="26" t="s">
        <v>230</v>
      </c>
      <c r="H50" s="28" t="s">
        <v>136</v>
      </c>
      <c r="I50" s="28" t="s">
        <v>136</v>
      </c>
      <c r="J50" s="22" t="s">
        <v>175</v>
      </c>
      <c r="K50" s="100">
        <v>2.5499999999999998</v>
      </c>
      <c r="L50" s="100"/>
      <c r="M50" s="100"/>
      <c r="N50" s="36">
        <v>0.3</v>
      </c>
      <c r="O50" s="37">
        <f t="shared" si="2"/>
        <v>5967000</v>
      </c>
    </row>
    <row r="51" spans="1:15" ht="22.5" customHeight="1" x14ac:dyDescent="0.35">
      <c r="A51" s="33">
        <v>40</v>
      </c>
      <c r="B51" s="34" t="s">
        <v>231</v>
      </c>
      <c r="C51" s="22"/>
      <c r="D51" s="42">
        <v>2604004212</v>
      </c>
      <c r="E51" s="24" t="s">
        <v>232</v>
      </c>
      <c r="F51" s="25" t="s">
        <v>233</v>
      </c>
      <c r="G51" s="26" t="s">
        <v>234</v>
      </c>
      <c r="H51" s="28" t="s">
        <v>136</v>
      </c>
      <c r="I51" s="28" t="s">
        <v>136</v>
      </c>
      <c r="J51" s="28" t="s">
        <v>160</v>
      </c>
      <c r="K51" s="100">
        <v>3.56</v>
      </c>
      <c r="L51" s="100"/>
      <c r="M51" s="100"/>
      <c r="N51" s="36">
        <v>0.3</v>
      </c>
      <c r="O51" s="37">
        <f t="shared" si="2"/>
        <v>8330400</v>
      </c>
    </row>
    <row r="52" spans="1:15" ht="22.5" customHeight="1" x14ac:dyDescent="0.35">
      <c r="A52" s="33">
        <v>41</v>
      </c>
      <c r="B52" s="34" t="s">
        <v>235</v>
      </c>
      <c r="C52" s="22"/>
      <c r="D52" s="42">
        <v>2696027301</v>
      </c>
      <c r="E52" s="24" t="s">
        <v>236</v>
      </c>
      <c r="F52" s="25" t="s">
        <v>237</v>
      </c>
      <c r="G52" s="26" t="s">
        <v>238</v>
      </c>
      <c r="H52" s="28" t="s">
        <v>136</v>
      </c>
      <c r="I52" s="28" t="s">
        <v>136</v>
      </c>
      <c r="J52" s="22" t="s">
        <v>164</v>
      </c>
      <c r="K52" s="100">
        <v>4.2</v>
      </c>
      <c r="L52" s="100"/>
      <c r="M52" s="100"/>
      <c r="N52" s="36">
        <v>0.3</v>
      </c>
      <c r="O52" s="37">
        <f t="shared" si="2"/>
        <v>9828000</v>
      </c>
    </row>
    <row r="53" spans="1:15" ht="22.5" customHeight="1" x14ac:dyDescent="0.35">
      <c r="A53" s="33">
        <v>42</v>
      </c>
      <c r="B53" s="34" t="s">
        <v>239</v>
      </c>
      <c r="C53" s="28"/>
      <c r="D53" s="42">
        <v>2696002889</v>
      </c>
      <c r="E53" s="24" t="s">
        <v>240</v>
      </c>
      <c r="F53" s="25" t="s">
        <v>241</v>
      </c>
      <c r="G53" s="26">
        <v>34090</v>
      </c>
      <c r="H53" s="28" t="s">
        <v>136</v>
      </c>
      <c r="I53" s="28" t="s">
        <v>136</v>
      </c>
      <c r="J53" s="22" t="s">
        <v>164</v>
      </c>
      <c r="K53" s="100">
        <v>4.2</v>
      </c>
      <c r="L53" s="141"/>
      <c r="M53" s="141"/>
      <c r="N53" s="36">
        <v>0.3</v>
      </c>
      <c r="O53" s="37">
        <f t="shared" si="2"/>
        <v>9828000</v>
      </c>
    </row>
    <row r="54" spans="1:15" ht="22.5" customHeight="1" x14ac:dyDescent="0.35">
      <c r="A54" s="33">
        <v>43</v>
      </c>
      <c r="B54" s="34" t="s">
        <v>242</v>
      </c>
      <c r="C54" s="22" t="s">
        <v>21</v>
      </c>
      <c r="D54" s="42">
        <v>2696027260</v>
      </c>
      <c r="E54" s="24" t="s">
        <v>243</v>
      </c>
      <c r="F54" s="25" t="s">
        <v>244</v>
      </c>
      <c r="G54" s="26" t="s">
        <v>245</v>
      </c>
      <c r="H54" s="28" t="s">
        <v>136</v>
      </c>
      <c r="I54" s="28" t="s">
        <v>136</v>
      </c>
      <c r="J54" s="22" t="s">
        <v>164</v>
      </c>
      <c r="K54" s="100">
        <v>4.2</v>
      </c>
      <c r="L54" s="100"/>
      <c r="M54" s="100"/>
      <c r="N54" s="36">
        <v>0.3</v>
      </c>
      <c r="O54" s="37">
        <f t="shared" si="2"/>
        <v>9828000</v>
      </c>
    </row>
    <row r="55" spans="1:15" ht="22.5" customHeight="1" x14ac:dyDescent="0.35">
      <c r="A55" s="33"/>
      <c r="B55" s="47" t="s">
        <v>246</v>
      </c>
      <c r="C55" s="22"/>
      <c r="D55" s="42"/>
      <c r="E55" s="42"/>
      <c r="F55" s="57"/>
      <c r="G55" s="38"/>
      <c r="H55" s="36"/>
      <c r="I55" s="36"/>
      <c r="J55" s="38"/>
      <c r="K55" s="100"/>
      <c r="L55" s="100"/>
      <c r="M55" s="100"/>
      <c r="N55" s="36"/>
      <c r="O55" s="37"/>
    </row>
    <row r="56" spans="1:15" ht="22.5" customHeight="1" x14ac:dyDescent="0.35">
      <c r="A56" s="33">
        <v>44</v>
      </c>
      <c r="B56" s="34" t="s">
        <v>247</v>
      </c>
      <c r="C56" s="22"/>
      <c r="D56" s="54" t="s">
        <v>248</v>
      </c>
      <c r="E56" s="40" t="s">
        <v>249</v>
      </c>
      <c r="F56" s="25" t="s">
        <v>250</v>
      </c>
      <c r="G56" s="26" t="s">
        <v>251</v>
      </c>
      <c r="H56" s="28" t="s">
        <v>145</v>
      </c>
      <c r="I56" s="28" t="s">
        <v>27</v>
      </c>
      <c r="J56" s="22" t="s">
        <v>63</v>
      </c>
      <c r="K56" s="100">
        <v>2.96</v>
      </c>
      <c r="L56" s="100"/>
      <c r="M56" s="100" t="s">
        <v>79</v>
      </c>
      <c r="N56" s="36">
        <v>0.3</v>
      </c>
      <c r="O56" s="37" t="e">
        <f t="shared" ref="O56:O70" si="3">(K56+L56+M56)*2340000</f>
        <v>#VALUE!</v>
      </c>
    </row>
    <row r="57" spans="1:15" ht="22.5" customHeight="1" x14ac:dyDescent="0.35">
      <c r="A57" s="33">
        <v>45</v>
      </c>
      <c r="B57" s="34" t="s">
        <v>252</v>
      </c>
      <c r="C57" s="22" t="s">
        <v>21</v>
      </c>
      <c r="D57" s="54" t="s">
        <v>253</v>
      </c>
      <c r="E57" s="40" t="s">
        <v>254</v>
      </c>
      <c r="F57" s="25" t="s">
        <v>255</v>
      </c>
      <c r="G57" s="26" t="s">
        <v>256</v>
      </c>
      <c r="H57" s="28" t="s">
        <v>150</v>
      </c>
      <c r="I57" s="28" t="s">
        <v>27</v>
      </c>
      <c r="J57" s="22" t="s">
        <v>63</v>
      </c>
      <c r="K57" s="100">
        <v>2.96</v>
      </c>
      <c r="L57" s="100"/>
      <c r="M57" s="100"/>
      <c r="N57" s="36">
        <v>0.3</v>
      </c>
      <c r="O57" s="37">
        <f t="shared" si="3"/>
        <v>6926400</v>
      </c>
    </row>
    <row r="58" spans="1:15" ht="22.5" customHeight="1" x14ac:dyDescent="0.35">
      <c r="A58" s="33">
        <v>46</v>
      </c>
      <c r="B58" s="34" t="s">
        <v>257</v>
      </c>
      <c r="C58" s="22"/>
      <c r="D58" s="23" t="s">
        <v>258</v>
      </c>
      <c r="E58" s="24" t="s">
        <v>259</v>
      </c>
      <c r="F58" s="25" t="s">
        <v>260</v>
      </c>
      <c r="G58" s="26" t="s">
        <v>135</v>
      </c>
      <c r="H58" s="28" t="s">
        <v>150</v>
      </c>
      <c r="I58" s="28" t="s">
        <v>49</v>
      </c>
      <c r="J58" s="22" t="s">
        <v>90</v>
      </c>
      <c r="K58" s="100">
        <v>2.65</v>
      </c>
      <c r="L58" s="100"/>
      <c r="M58" s="100"/>
      <c r="N58" s="36">
        <v>0.3</v>
      </c>
      <c r="O58" s="37">
        <f t="shared" si="3"/>
        <v>6201000</v>
      </c>
    </row>
    <row r="59" spans="1:15" ht="22.5" customHeight="1" x14ac:dyDescent="0.35">
      <c r="A59" s="33">
        <v>47</v>
      </c>
      <c r="B59" s="34" t="s">
        <v>261</v>
      </c>
      <c r="C59" s="22" t="s">
        <v>21</v>
      </c>
      <c r="D59" s="42">
        <v>2606003370</v>
      </c>
      <c r="E59" s="24" t="s">
        <v>262</v>
      </c>
      <c r="F59" s="25" t="s">
        <v>263</v>
      </c>
      <c r="G59" s="26" t="s">
        <v>264</v>
      </c>
      <c r="H59" s="28" t="s">
        <v>136</v>
      </c>
      <c r="I59" s="28" t="s">
        <v>180</v>
      </c>
      <c r="J59" s="22" t="s">
        <v>181</v>
      </c>
      <c r="K59" s="100">
        <v>3.51</v>
      </c>
      <c r="L59" s="100"/>
      <c r="M59" s="100"/>
      <c r="N59" s="36">
        <v>0.3</v>
      </c>
      <c r="O59" s="37">
        <f t="shared" si="3"/>
        <v>8213399.9999999991</v>
      </c>
    </row>
    <row r="60" spans="1:15" ht="22.5" customHeight="1" x14ac:dyDescent="0.35">
      <c r="A60" s="33">
        <v>48</v>
      </c>
      <c r="B60" s="34" t="s">
        <v>265</v>
      </c>
      <c r="C60" s="22" t="s">
        <v>21</v>
      </c>
      <c r="D60" s="23" t="s">
        <v>266</v>
      </c>
      <c r="E60" s="24" t="s">
        <v>267</v>
      </c>
      <c r="F60" s="25" t="s">
        <v>268</v>
      </c>
      <c r="G60" s="26" t="s">
        <v>118</v>
      </c>
      <c r="H60" s="28" t="s">
        <v>136</v>
      </c>
      <c r="I60" s="28" t="s">
        <v>180</v>
      </c>
      <c r="J60" s="22" t="s">
        <v>181</v>
      </c>
      <c r="K60" s="100">
        <v>3.51</v>
      </c>
      <c r="L60" s="100"/>
      <c r="M60" s="100"/>
      <c r="N60" s="36">
        <v>0.3</v>
      </c>
      <c r="O60" s="37">
        <f t="shared" si="3"/>
        <v>8213399.9999999991</v>
      </c>
    </row>
    <row r="61" spans="1:15" ht="22.5" customHeight="1" x14ac:dyDescent="0.35">
      <c r="A61" s="33">
        <v>49</v>
      </c>
      <c r="B61" s="34" t="s">
        <v>269</v>
      </c>
      <c r="C61" s="22"/>
      <c r="D61" s="42">
        <v>2604004211</v>
      </c>
      <c r="E61" s="24" t="s">
        <v>270</v>
      </c>
      <c r="F61" s="25" t="s">
        <v>271</v>
      </c>
      <c r="G61" s="26" t="s">
        <v>234</v>
      </c>
      <c r="H61" s="28" t="s">
        <v>272</v>
      </c>
      <c r="I61" s="28" t="s">
        <v>273</v>
      </c>
      <c r="J61" s="28" t="s">
        <v>130</v>
      </c>
      <c r="K61" s="100">
        <v>3.01</v>
      </c>
      <c r="L61" s="100"/>
      <c r="M61" s="100">
        <v>0.1</v>
      </c>
      <c r="N61" s="36">
        <v>0.3</v>
      </c>
      <c r="O61" s="37">
        <f t="shared" si="3"/>
        <v>7277400</v>
      </c>
    </row>
    <row r="62" spans="1:15" ht="22.5" customHeight="1" x14ac:dyDescent="0.35">
      <c r="A62" s="33">
        <v>50</v>
      </c>
      <c r="B62" s="34" t="s">
        <v>274</v>
      </c>
      <c r="C62" s="22"/>
      <c r="D62" s="42">
        <v>2698041218</v>
      </c>
      <c r="E62" s="24" t="s">
        <v>275</v>
      </c>
      <c r="F62" s="25" t="s">
        <v>276</v>
      </c>
      <c r="G62" s="26" t="s">
        <v>277</v>
      </c>
      <c r="H62" s="28" t="s">
        <v>136</v>
      </c>
      <c r="I62" s="28" t="s">
        <v>136</v>
      </c>
      <c r="J62" s="22" t="s">
        <v>164</v>
      </c>
      <c r="K62" s="100">
        <v>4.2</v>
      </c>
      <c r="L62" s="100"/>
      <c r="M62" s="100"/>
      <c r="N62" s="36">
        <v>0.3</v>
      </c>
      <c r="O62" s="37">
        <f t="shared" si="3"/>
        <v>9828000</v>
      </c>
    </row>
    <row r="63" spans="1:15" ht="22.5" customHeight="1" x14ac:dyDescent="0.35">
      <c r="A63" s="33">
        <v>51</v>
      </c>
      <c r="B63" s="34" t="s">
        <v>278</v>
      </c>
      <c r="C63" s="22" t="s">
        <v>21</v>
      </c>
      <c r="D63" s="42">
        <v>2606003277</v>
      </c>
      <c r="E63" s="24" t="s">
        <v>279</v>
      </c>
      <c r="F63" s="25" t="s">
        <v>280</v>
      </c>
      <c r="G63" s="26" t="s">
        <v>118</v>
      </c>
      <c r="H63" s="28" t="s">
        <v>136</v>
      </c>
      <c r="I63" s="28" t="s">
        <v>136</v>
      </c>
      <c r="J63" s="28" t="s">
        <v>160</v>
      </c>
      <c r="K63" s="100">
        <v>3.56</v>
      </c>
      <c r="L63" s="100"/>
      <c r="M63" s="100"/>
      <c r="N63" s="36">
        <v>0.3</v>
      </c>
      <c r="O63" s="37">
        <f t="shared" si="3"/>
        <v>8330400</v>
      </c>
    </row>
    <row r="64" spans="1:15" ht="22.5" customHeight="1" x14ac:dyDescent="0.35">
      <c r="A64" s="33">
        <v>52</v>
      </c>
      <c r="B64" s="34" t="s">
        <v>281</v>
      </c>
      <c r="C64" s="22"/>
      <c r="D64" s="54" t="s">
        <v>282</v>
      </c>
      <c r="E64" s="40" t="s">
        <v>283</v>
      </c>
      <c r="F64" s="25" t="s">
        <v>284</v>
      </c>
      <c r="G64" s="26" t="s">
        <v>285</v>
      </c>
      <c r="H64" s="28" t="s">
        <v>286</v>
      </c>
      <c r="I64" s="28" t="s">
        <v>136</v>
      </c>
      <c r="J64" s="22" t="s">
        <v>175</v>
      </c>
      <c r="K64" s="100">
        <v>2.5499999999999998</v>
      </c>
      <c r="L64" s="141"/>
      <c r="M64" s="141">
        <v>0.1</v>
      </c>
      <c r="N64" s="36">
        <v>0.3</v>
      </c>
      <c r="O64" s="37">
        <f t="shared" si="3"/>
        <v>6201000</v>
      </c>
    </row>
    <row r="65" spans="1:15" ht="22.5" customHeight="1" x14ac:dyDescent="0.35">
      <c r="A65" s="33">
        <v>53</v>
      </c>
      <c r="B65" s="34" t="s">
        <v>287</v>
      </c>
      <c r="C65" s="22" t="s">
        <v>21</v>
      </c>
      <c r="D65" s="54" t="s">
        <v>288</v>
      </c>
      <c r="E65" s="40" t="s">
        <v>289</v>
      </c>
      <c r="F65" s="25" t="s">
        <v>290</v>
      </c>
      <c r="G65" s="26" t="s">
        <v>291</v>
      </c>
      <c r="H65" s="28" t="s">
        <v>136</v>
      </c>
      <c r="I65" s="28" t="s">
        <v>136</v>
      </c>
      <c r="J65" s="22" t="s">
        <v>175</v>
      </c>
      <c r="K65" s="100">
        <v>2.5499999999999998</v>
      </c>
      <c r="L65" s="100"/>
      <c r="M65" s="100"/>
      <c r="N65" s="36">
        <v>0.3</v>
      </c>
      <c r="O65" s="37">
        <f t="shared" si="3"/>
        <v>5967000</v>
      </c>
    </row>
    <row r="66" spans="1:15" ht="22.5" customHeight="1" x14ac:dyDescent="0.35">
      <c r="A66" s="33">
        <v>54</v>
      </c>
      <c r="B66" s="34" t="s">
        <v>292</v>
      </c>
      <c r="C66" s="22"/>
      <c r="D66" s="54" t="s">
        <v>293</v>
      </c>
      <c r="E66" s="40" t="s">
        <v>294</v>
      </c>
      <c r="F66" s="25" t="s">
        <v>295</v>
      </c>
      <c r="G66" s="26" t="s">
        <v>296</v>
      </c>
      <c r="H66" s="28" t="s">
        <v>136</v>
      </c>
      <c r="I66" s="28" t="s">
        <v>136</v>
      </c>
      <c r="J66" s="22" t="s">
        <v>175</v>
      </c>
      <c r="K66" s="100">
        <v>2.5499999999999998</v>
      </c>
      <c r="L66" s="100"/>
      <c r="M66" s="100"/>
      <c r="N66" s="36">
        <v>0.3</v>
      </c>
      <c r="O66" s="37">
        <f t="shared" si="3"/>
        <v>5967000</v>
      </c>
    </row>
    <row r="67" spans="1:15" ht="22.5" customHeight="1" x14ac:dyDescent="0.35">
      <c r="A67" s="33">
        <v>55</v>
      </c>
      <c r="B67" s="34" t="s">
        <v>297</v>
      </c>
      <c r="C67" s="22" t="s">
        <v>21</v>
      </c>
      <c r="D67" s="23" t="s">
        <v>298</v>
      </c>
      <c r="E67" s="24" t="s">
        <v>299</v>
      </c>
      <c r="F67" s="25" t="s">
        <v>300</v>
      </c>
      <c r="G67" s="26" t="s">
        <v>301</v>
      </c>
      <c r="H67" s="28" t="s">
        <v>136</v>
      </c>
      <c r="I67" s="28" t="s">
        <v>180</v>
      </c>
      <c r="J67" s="22" t="s">
        <v>302</v>
      </c>
      <c r="K67" s="100">
        <v>3.7</v>
      </c>
      <c r="L67" s="100"/>
      <c r="M67" s="100"/>
      <c r="N67" s="36">
        <v>0.3</v>
      </c>
      <c r="O67" s="37">
        <f t="shared" si="3"/>
        <v>8658000</v>
      </c>
    </row>
    <row r="68" spans="1:15" ht="22.5" customHeight="1" x14ac:dyDescent="0.35">
      <c r="A68" s="33">
        <v>56</v>
      </c>
      <c r="B68" s="34" t="s">
        <v>303</v>
      </c>
      <c r="C68" s="22" t="s">
        <v>21</v>
      </c>
      <c r="D68" s="23" t="s">
        <v>304</v>
      </c>
      <c r="E68" s="24">
        <v>36367</v>
      </c>
      <c r="F68" s="25" t="s">
        <v>305</v>
      </c>
      <c r="G68" s="26" t="s">
        <v>306</v>
      </c>
      <c r="H68" s="28" t="s">
        <v>136</v>
      </c>
      <c r="I68" s="28" t="s">
        <v>136</v>
      </c>
      <c r="J68" s="22" t="s">
        <v>190</v>
      </c>
      <c r="K68" s="100">
        <v>1.83</v>
      </c>
      <c r="L68" s="100"/>
      <c r="M68" s="100"/>
      <c r="N68" s="36">
        <v>0.3</v>
      </c>
      <c r="O68" s="37">
        <f t="shared" si="3"/>
        <v>4282200</v>
      </c>
    </row>
    <row r="69" spans="1:15" ht="22.5" customHeight="1" x14ac:dyDescent="0.35">
      <c r="A69" s="33">
        <v>57</v>
      </c>
      <c r="B69" s="34" t="s">
        <v>307</v>
      </c>
      <c r="C69" s="22"/>
      <c r="D69" s="41" t="s">
        <v>308</v>
      </c>
      <c r="E69" s="58" t="s">
        <v>309</v>
      </c>
      <c r="F69" s="59" t="s">
        <v>310</v>
      </c>
      <c r="G69" s="26" t="s">
        <v>311</v>
      </c>
      <c r="H69" s="28" t="s">
        <v>136</v>
      </c>
      <c r="I69" s="28" t="s">
        <v>136</v>
      </c>
      <c r="J69" s="22" t="s">
        <v>190</v>
      </c>
      <c r="K69" s="100">
        <v>1.83</v>
      </c>
      <c r="L69" s="100"/>
      <c r="M69" s="100"/>
      <c r="N69" s="36">
        <v>0.3</v>
      </c>
      <c r="O69" s="37">
        <f t="shared" si="3"/>
        <v>4282200</v>
      </c>
    </row>
    <row r="70" spans="1:15" ht="22.5" customHeight="1" x14ac:dyDescent="0.35">
      <c r="A70" s="33">
        <v>58</v>
      </c>
      <c r="B70" s="34" t="s">
        <v>312</v>
      </c>
      <c r="C70" s="28"/>
      <c r="D70" s="23" t="s">
        <v>313</v>
      </c>
      <c r="E70" s="24" t="s">
        <v>314</v>
      </c>
      <c r="F70" s="25" t="s">
        <v>315</v>
      </c>
      <c r="G70" s="26" t="s">
        <v>316</v>
      </c>
      <c r="H70" s="28" t="s">
        <v>286</v>
      </c>
      <c r="I70" s="28" t="s">
        <v>136</v>
      </c>
      <c r="J70" s="28" t="s">
        <v>160</v>
      </c>
      <c r="K70" s="100">
        <v>3.56</v>
      </c>
      <c r="L70" s="141"/>
      <c r="M70" s="141">
        <v>0.1</v>
      </c>
      <c r="N70" s="36">
        <v>0.3</v>
      </c>
      <c r="O70" s="37">
        <f t="shared" si="3"/>
        <v>8564400</v>
      </c>
    </row>
    <row r="71" spans="1:15" ht="22.5" customHeight="1" x14ac:dyDescent="0.35">
      <c r="A71" s="46"/>
      <c r="B71" s="47" t="s">
        <v>317</v>
      </c>
      <c r="C71" s="55"/>
      <c r="D71" s="49"/>
      <c r="E71" s="49"/>
      <c r="F71" s="50"/>
      <c r="G71" s="39"/>
      <c r="H71" s="55"/>
      <c r="I71" s="55"/>
      <c r="J71" s="52"/>
      <c r="K71" s="159"/>
      <c r="L71" s="160"/>
      <c r="M71" s="160"/>
      <c r="N71" s="52"/>
      <c r="O71" s="53"/>
    </row>
    <row r="72" spans="1:15" ht="22.5" customHeight="1" x14ac:dyDescent="0.35">
      <c r="A72" s="33">
        <v>59</v>
      </c>
      <c r="B72" s="34" t="s">
        <v>318</v>
      </c>
      <c r="C72" s="22" t="s">
        <v>21</v>
      </c>
      <c r="D72" s="54" t="s">
        <v>319</v>
      </c>
      <c r="E72" s="40" t="s">
        <v>320</v>
      </c>
      <c r="F72" s="25" t="s">
        <v>321</v>
      </c>
      <c r="G72" s="26" t="s">
        <v>322</v>
      </c>
      <c r="H72" s="28" t="s">
        <v>145</v>
      </c>
      <c r="I72" s="28" t="s">
        <v>27</v>
      </c>
      <c r="J72" s="22" t="s">
        <v>63</v>
      </c>
      <c r="K72" s="100">
        <v>2.96</v>
      </c>
      <c r="L72" s="100"/>
      <c r="M72" s="100" t="s">
        <v>79</v>
      </c>
      <c r="N72" s="36">
        <v>0.3</v>
      </c>
      <c r="O72" s="37" t="e">
        <f t="shared" ref="O72:O84" si="4">(K72+L72+M72)*2340000</f>
        <v>#VALUE!</v>
      </c>
    </row>
    <row r="73" spans="1:15" ht="22.5" customHeight="1" x14ac:dyDescent="0.35">
      <c r="A73" s="33">
        <v>60</v>
      </c>
      <c r="B73" s="34" t="s">
        <v>323</v>
      </c>
      <c r="C73" s="22" t="s">
        <v>21</v>
      </c>
      <c r="D73" s="42">
        <v>2606003271</v>
      </c>
      <c r="E73" s="24" t="s">
        <v>324</v>
      </c>
      <c r="F73" s="25" t="s">
        <v>325</v>
      </c>
      <c r="G73" s="26" t="s">
        <v>118</v>
      </c>
      <c r="H73" s="28" t="s">
        <v>150</v>
      </c>
      <c r="I73" s="28" t="s">
        <v>27</v>
      </c>
      <c r="J73" s="22" t="s">
        <v>96</v>
      </c>
      <c r="K73" s="100">
        <v>3.58</v>
      </c>
      <c r="L73" s="100"/>
      <c r="M73" s="100"/>
      <c r="N73" s="36">
        <v>0.3</v>
      </c>
      <c r="O73" s="37">
        <f t="shared" si="4"/>
        <v>8377200</v>
      </c>
    </row>
    <row r="74" spans="1:15" ht="22.5" customHeight="1" x14ac:dyDescent="0.35">
      <c r="A74" s="33">
        <v>61</v>
      </c>
      <c r="B74" s="34" t="s">
        <v>326</v>
      </c>
      <c r="C74" s="22"/>
      <c r="D74" s="23" t="s">
        <v>327</v>
      </c>
      <c r="E74" s="24" t="s">
        <v>328</v>
      </c>
      <c r="F74" s="25" t="s">
        <v>329</v>
      </c>
      <c r="G74" s="26" t="s">
        <v>330</v>
      </c>
      <c r="H74" s="28" t="s">
        <v>150</v>
      </c>
      <c r="I74" s="28" t="s">
        <v>27</v>
      </c>
      <c r="J74" s="22" t="s">
        <v>90</v>
      </c>
      <c r="K74" s="100">
        <v>2.65</v>
      </c>
      <c r="L74" s="100"/>
      <c r="M74" s="100"/>
      <c r="N74" s="36">
        <v>0.3</v>
      </c>
      <c r="O74" s="37">
        <f t="shared" si="4"/>
        <v>6201000</v>
      </c>
    </row>
    <row r="75" spans="1:15" ht="22.5" customHeight="1" x14ac:dyDescent="0.35">
      <c r="A75" s="33">
        <v>62</v>
      </c>
      <c r="B75" s="34" t="s">
        <v>331</v>
      </c>
      <c r="C75" s="22"/>
      <c r="D75" s="45">
        <v>3414007452</v>
      </c>
      <c r="E75" s="40" t="s">
        <v>332</v>
      </c>
      <c r="F75" s="25" t="s">
        <v>333</v>
      </c>
      <c r="G75" s="26" t="s">
        <v>122</v>
      </c>
      <c r="H75" s="28" t="s">
        <v>286</v>
      </c>
      <c r="I75" s="28" t="s">
        <v>334</v>
      </c>
      <c r="J75" s="22" t="s">
        <v>335</v>
      </c>
      <c r="K75" s="100">
        <v>2.94</v>
      </c>
      <c r="L75" s="100"/>
      <c r="M75" s="100" t="s">
        <v>218</v>
      </c>
      <c r="N75" s="36">
        <v>0.3</v>
      </c>
      <c r="O75" s="37" t="e">
        <f t="shared" si="4"/>
        <v>#VALUE!</v>
      </c>
    </row>
    <row r="76" spans="1:15" ht="22.5" customHeight="1" x14ac:dyDescent="0.35">
      <c r="A76" s="33">
        <v>63</v>
      </c>
      <c r="B76" s="34" t="s">
        <v>336</v>
      </c>
      <c r="C76" s="22"/>
      <c r="D76" s="54" t="s">
        <v>337</v>
      </c>
      <c r="E76" s="40" t="s">
        <v>338</v>
      </c>
      <c r="F76" s="25" t="s">
        <v>339</v>
      </c>
      <c r="G76" s="26" t="s">
        <v>340</v>
      </c>
      <c r="H76" s="28" t="s">
        <v>136</v>
      </c>
      <c r="I76" s="28" t="s">
        <v>49</v>
      </c>
      <c r="J76" s="22" t="s">
        <v>90</v>
      </c>
      <c r="K76" s="100">
        <v>2.65</v>
      </c>
      <c r="L76" s="100"/>
      <c r="M76" s="100"/>
      <c r="N76" s="36">
        <v>0.3</v>
      </c>
      <c r="O76" s="37">
        <f t="shared" si="4"/>
        <v>6201000</v>
      </c>
    </row>
    <row r="77" spans="1:15" ht="22.5" customHeight="1" x14ac:dyDescent="0.35">
      <c r="A77" s="33">
        <v>64</v>
      </c>
      <c r="B77" s="34" t="s">
        <v>341</v>
      </c>
      <c r="C77" s="22" t="s">
        <v>21</v>
      </c>
      <c r="D77" s="54" t="s">
        <v>342</v>
      </c>
      <c r="E77" s="40">
        <v>35284</v>
      </c>
      <c r="F77" s="25" t="s">
        <v>343</v>
      </c>
      <c r="G77" s="26" t="s">
        <v>89</v>
      </c>
      <c r="H77" s="28" t="s">
        <v>136</v>
      </c>
      <c r="I77" s="28" t="s">
        <v>136</v>
      </c>
      <c r="J77" s="22" t="s">
        <v>137</v>
      </c>
      <c r="K77" s="100">
        <v>2.16</v>
      </c>
      <c r="L77" s="100"/>
      <c r="M77" s="100"/>
      <c r="N77" s="36">
        <v>0.3</v>
      </c>
      <c r="O77" s="37">
        <f t="shared" si="4"/>
        <v>5054400</v>
      </c>
    </row>
    <row r="78" spans="1:15" ht="22.5" customHeight="1" x14ac:dyDescent="0.35">
      <c r="A78" s="33">
        <v>65</v>
      </c>
      <c r="B78" s="34" t="s">
        <v>344</v>
      </c>
      <c r="C78" s="22" t="s">
        <v>21</v>
      </c>
      <c r="D78" s="54" t="s">
        <v>345</v>
      </c>
      <c r="E78" s="40">
        <v>37751</v>
      </c>
      <c r="F78" s="25" t="s">
        <v>346</v>
      </c>
      <c r="G78" s="26" t="s">
        <v>347</v>
      </c>
      <c r="H78" s="28" t="s">
        <v>136</v>
      </c>
      <c r="I78" s="28" t="s">
        <v>136</v>
      </c>
      <c r="J78" s="22" t="s">
        <v>137</v>
      </c>
      <c r="K78" s="100">
        <v>2.16</v>
      </c>
      <c r="L78" s="100"/>
      <c r="M78" s="100"/>
      <c r="N78" s="36">
        <v>0.3</v>
      </c>
      <c r="O78" s="37">
        <f t="shared" si="4"/>
        <v>5054400</v>
      </c>
    </row>
    <row r="79" spans="1:15" ht="22.5" customHeight="1" x14ac:dyDescent="0.35">
      <c r="A79" s="33">
        <v>66</v>
      </c>
      <c r="B79" s="34" t="s">
        <v>348</v>
      </c>
      <c r="C79" s="22"/>
      <c r="D79" s="42">
        <v>2606003276</v>
      </c>
      <c r="E79" s="24" t="s">
        <v>349</v>
      </c>
      <c r="F79" s="25" t="s">
        <v>350</v>
      </c>
      <c r="G79" s="26" t="s">
        <v>118</v>
      </c>
      <c r="H79" s="28" t="s">
        <v>136</v>
      </c>
      <c r="I79" s="28" t="s">
        <v>136</v>
      </c>
      <c r="J79" s="28" t="s">
        <v>160</v>
      </c>
      <c r="K79" s="100">
        <v>3.56</v>
      </c>
      <c r="L79" s="100"/>
      <c r="M79" s="100"/>
      <c r="N79" s="36">
        <v>0.3</v>
      </c>
      <c r="O79" s="37">
        <f t="shared" si="4"/>
        <v>8330400</v>
      </c>
    </row>
    <row r="80" spans="1:15" ht="20.25" customHeight="1" x14ac:dyDescent="0.35">
      <c r="A80" s="33">
        <v>67</v>
      </c>
      <c r="B80" s="34" t="s">
        <v>351</v>
      </c>
      <c r="C80" s="22"/>
      <c r="D80" s="23" t="s">
        <v>352</v>
      </c>
      <c r="E80" s="24">
        <v>32747</v>
      </c>
      <c r="F80" s="25" t="s">
        <v>353</v>
      </c>
      <c r="G80" s="26" t="s">
        <v>354</v>
      </c>
      <c r="H80" s="28" t="s">
        <v>136</v>
      </c>
      <c r="I80" s="28" t="s">
        <v>355</v>
      </c>
      <c r="J80" s="22" t="s">
        <v>356</v>
      </c>
      <c r="K80" s="100">
        <v>1.99</v>
      </c>
      <c r="L80" s="100"/>
      <c r="M80" s="100"/>
      <c r="N80" s="36">
        <v>0.3</v>
      </c>
      <c r="O80" s="37">
        <f t="shared" si="4"/>
        <v>4656600</v>
      </c>
    </row>
    <row r="81" spans="1:15" ht="22.5" customHeight="1" x14ac:dyDescent="0.35">
      <c r="A81" s="33">
        <v>68</v>
      </c>
      <c r="B81" s="34" t="s">
        <v>357</v>
      </c>
      <c r="C81" s="22"/>
      <c r="D81" s="45">
        <v>2605001039</v>
      </c>
      <c r="E81" s="40" t="s">
        <v>358</v>
      </c>
      <c r="F81" s="25" t="s">
        <v>359</v>
      </c>
      <c r="G81" s="26">
        <v>41640</v>
      </c>
      <c r="H81" s="28" t="s">
        <v>225</v>
      </c>
      <c r="I81" s="28" t="s">
        <v>225</v>
      </c>
      <c r="J81" s="28" t="s">
        <v>130</v>
      </c>
      <c r="K81" s="100">
        <v>3.01</v>
      </c>
      <c r="L81" s="100"/>
      <c r="M81" s="100"/>
      <c r="N81" s="36">
        <v>0.3</v>
      </c>
      <c r="O81" s="37">
        <f t="shared" si="4"/>
        <v>7043399.9999999991</v>
      </c>
    </row>
    <row r="82" spans="1:15" ht="22.5" customHeight="1" x14ac:dyDescent="0.35">
      <c r="A82" s="33">
        <v>69</v>
      </c>
      <c r="B82" s="34" t="s">
        <v>360</v>
      </c>
      <c r="C82" s="22"/>
      <c r="D82" s="57">
        <v>3412001420</v>
      </c>
      <c r="E82" s="60" t="s">
        <v>361</v>
      </c>
      <c r="F82" s="25" t="s">
        <v>362</v>
      </c>
      <c r="G82" s="61" t="s">
        <v>363</v>
      </c>
      <c r="H82" s="28" t="s">
        <v>136</v>
      </c>
      <c r="I82" s="28" t="s">
        <v>136</v>
      </c>
      <c r="J82" s="28" t="s">
        <v>130</v>
      </c>
      <c r="K82" s="141">
        <v>3.01</v>
      </c>
      <c r="L82" s="100"/>
      <c r="M82" s="100"/>
      <c r="N82" s="36">
        <v>0.3</v>
      </c>
      <c r="O82" s="37">
        <f t="shared" si="4"/>
        <v>7043399.9999999991</v>
      </c>
    </row>
    <row r="83" spans="1:15" ht="22.5" customHeight="1" x14ac:dyDescent="0.35">
      <c r="A83" s="33">
        <v>70</v>
      </c>
      <c r="B83" s="34" t="s">
        <v>364</v>
      </c>
      <c r="C83" s="22" t="s">
        <v>21</v>
      </c>
      <c r="D83" s="41" t="s">
        <v>365</v>
      </c>
      <c r="E83" s="40" t="s">
        <v>366</v>
      </c>
      <c r="F83" s="25" t="s">
        <v>367</v>
      </c>
      <c r="G83" s="26">
        <v>45901</v>
      </c>
      <c r="H83" s="28" t="s">
        <v>136</v>
      </c>
      <c r="I83" s="28" t="s">
        <v>136</v>
      </c>
      <c r="J83" s="22" t="s">
        <v>190</v>
      </c>
      <c r="K83" s="100">
        <v>1.83</v>
      </c>
      <c r="L83" s="100"/>
      <c r="M83" s="100"/>
      <c r="N83" s="36">
        <v>0.3</v>
      </c>
      <c r="O83" s="37">
        <f t="shared" si="4"/>
        <v>4282200</v>
      </c>
    </row>
    <row r="84" spans="1:15" ht="22.5" customHeight="1" x14ac:dyDescent="0.35">
      <c r="A84" s="33">
        <v>71</v>
      </c>
      <c r="B84" s="34" t="s">
        <v>341</v>
      </c>
      <c r="C84" s="22" t="s">
        <v>21</v>
      </c>
      <c r="D84" s="23" t="s">
        <v>368</v>
      </c>
      <c r="E84" s="24" t="s">
        <v>369</v>
      </c>
      <c r="F84" s="25" t="s">
        <v>370</v>
      </c>
      <c r="G84" s="26" t="s">
        <v>371</v>
      </c>
      <c r="H84" s="28" t="s">
        <v>136</v>
      </c>
      <c r="I84" s="28" t="s">
        <v>136</v>
      </c>
      <c r="J84" s="22" t="s">
        <v>175</v>
      </c>
      <c r="K84" s="100">
        <v>2.5499999999999998</v>
      </c>
      <c r="L84" s="100"/>
      <c r="M84" s="100"/>
      <c r="N84" s="36">
        <v>0.3</v>
      </c>
      <c r="O84" s="37">
        <f t="shared" si="4"/>
        <v>5967000</v>
      </c>
    </row>
    <row r="85" spans="1:15" ht="22.5" customHeight="1" x14ac:dyDescent="0.35">
      <c r="A85" s="46"/>
      <c r="B85" s="47" t="s">
        <v>372</v>
      </c>
      <c r="C85" s="35"/>
      <c r="D85" s="49"/>
      <c r="E85" s="49"/>
      <c r="F85" s="50"/>
      <c r="G85" s="39"/>
      <c r="H85" s="55"/>
      <c r="I85" s="55"/>
      <c r="J85" s="39"/>
      <c r="K85" s="159"/>
      <c r="L85" s="159"/>
      <c r="M85" s="159"/>
      <c r="N85" s="52"/>
      <c r="O85" s="53"/>
    </row>
    <row r="86" spans="1:15" ht="22.5" customHeight="1" x14ac:dyDescent="0.35">
      <c r="A86" s="33">
        <v>72</v>
      </c>
      <c r="B86" s="34" t="s">
        <v>373</v>
      </c>
      <c r="C86" s="22" t="s">
        <v>21</v>
      </c>
      <c r="D86" s="42">
        <v>2606003268</v>
      </c>
      <c r="E86" s="24" t="s">
        <v>374</v>
      </c>
      <c r="F86" s="25" t="s">
        <v>375</v>
      </c>
      <c r="G86" s="26" t="s">
        <v>118</v>
      </c>
      <c r="H86" s="28" t="s">
        <v>145</v>
      </c>
      <c r="I86" s="28" t="s">
        <v>27</v>
      </c>
      <c r="J86" s="22" t="s">
        <v>96</v>
      </c>
      <c r="K86" s="100">
        <v>3.58</v>
      </c>
      <c r="L86" s="100"/>
      <c r="M86" s="100">
        <v>0.2</v>
      </c>
      <c r="N86" s="36">
        <v>0.3</v>
      </c>
      <c r="O86" s="37">
        <f t="shared" ref="O86:O99" si="5">(K86+L86+M86)*2340000</f>
        <v>8845200</v>
      </c>
    </row>
    <row r="87" spans="1:15" ht="22.5" customHeight="1" x14ac:dyDescent="0.35">
      <c r="A87" s="33">
        <v>73</v>
      </c>
      <c r="B87" s="34" t="s">
        <v>376</v>
      </c>
      <c r="C87" s="22"/>
      <c r="D87" s="23" t="s">
        <v>377</v>
      </c>
      <c r="E87" s="24" t="s">
        <v>378</v>
      </c>
      <c r="F87" s="25" t="s">
        <v>379</v>
      </c>
      <c r="G87" s="26" t="s">
        <v>380</v>
      </c>
      <c r="H87" s="28" t="s">
        <v>150</v>
      </c>
      <c r="I87" s="28" t="s">
        <v>27</v>
      </c>
      <c r="J87" s="22" t="s">
        <v>50</v>
      </c>
      <c r="K87" s="100">
        <v>4.51</v>
      </c>
      <c r="L87" s="100"/>
      <c r="M87" s="100"/>
      <c r="N87" s="36">
        <v>0.3</v>
      </c>
      <c r="O87" s="37">
        <f t="shared" si="5"/>
        <v>10553400</v>
      </c>
    </row>
    <row r="88" spans="1:15" ht="22.5" customHeight="1" x14ac:dyDescent="0.35">
      <c r="A88" s="33">
        <v>74</v>
      </c>
      <c r="B88" s="34" t="s">
        <v>381</v>
      </c>
      <c r="C88" s="22" t="s">
        <v>21</v>
      </c>
      <c r="D88" s="42">
        <v>3408007111</v>
      </c>
      <c r="E88" s="24" t="s">
        <v>382</v>
      </c>
      <c r="F88" s="25" t="s">
        <v>383</v>
      </c>
      <c r="G88" s="26" t="s">
        <v>94</v>
      </c>
      <c r="H88" s="28" t="s">
        <v>150</v>
      </c>
      <c r="I88" s="28" t="s">
        <v>27</v>
      </c>
      <c r="J88" s="22" t="s">
        <v>96</v>
      </c>
      <c r="K88" s="100">
        <v>3.58</v>
      </c>
      <c r="L88" s="100"/>
      <c r="M88" s="100"/>
      <c r="N88" s="36">
        <v>0.3</v>
      </c>
      <c r="O88" s="37">
        <f t="shared" si="5"/>
        <v>8377200</v>
      </c>
    </row>
    <row r="89" spans="1:15" ht="22.5" customHeight="1" x14ac:dyDescent="0.35">
      <c r="A89" s="33">
        <v>75</v>
      </c>
      <c r="B89" s="34" t="s">
        <v>384</v>
      </c>
      <c r="C89" s="22"/>
      <c r="D89" s="42">
        <v>3413001544</v>
      </c>
      <c r="E89" s="40" t="s">
        <v>385</v>
      </c>
      <c r="F89" s="25" t="s">
        <v>386</v>
      </c>
      <c r="G89" s="26" t="s">
        <v>387</v>
      </c>
      <c r="H89" s="28" t="s">
        <v>150</v>
      </c>
      <c r="I89" s="28" t="s">
        <v>27</v>
      </c>
      <c r="J89" s="22" t="s">
        <v>37</v>
      </c>
      <c r="K89" s="100">
        <v>3.27</v>
      </c>
      <c r="L89" s="100"/>
      <c r="M89" s="100"/>
      <c r="N89" s="36">
        <v>0.3</v>
      </c>
      <c r="O89" s="37">
        <f t="shared" si="5"/>
        <v>7651800</v>
      </c>
    </row>
    <row r="90" spans="1:15" ht="22.5" customHeight="1" x14ac:dyDescent="0.35">
      <c r="A90" s="33">
        <v>76</v>
      </c>
      <c r="B90" s="34" t="s">
        <v>388</v>
      </c>
      <c r="C90" s="28"/>
      <c r="D90" s="23" t="s">
        <v>389</v>
      </c>
      <c r="E90" s="24" t="s">
        <v>390</v>
      </c>
      <c r="F90" s="41" t="s">
        <v>391</v>
      </c>
      <c r="G90" s="26" t="s">
        <v>392</v>
      </c>
      <c r="H90" s="28" t="s">
        <v>136</v>
      </c>
      <c r="I90" s="28" t="s">
        <v>136</v>
      </c>
      <c r="J90" s="28" t="s">
        <v>164</v>
      </c>
      <c r="K90" s="141">
        <v>4.2</v>
      </c>
      <c r="L90" s="141"/>
      <c r="M90" s="141"/>
      <c r="N90" s="36">
        <v>0.3</v>
      </c>
      <c r="O90" s="37">
        <f t="shared" si="5"/>
        <v>9828000</v>
      </c>
    </row>
    <row r="91" spans="1:15" ht="22.5" customHeight="1" x14ac:dyDescent="0.35">
      <c r="A91" s="33">
        <v>77</v>
      </c>
      <c r="B91" s="34" t="s">
        <v>281</v>
      </c>
      <c r="C91" s="28"/>
      <c r="D91" s="23" t="s">
        <v>393</v>
      </c>
      <c r="E91" s="24" t="s">
        <v>394</v>
      </c>
      <c r="F91" s="25" t="s">
        <v>395</v>
      </c>
      <c r="G91" s="26" t="s">
        <v>396</v>
      </c>
      <c r="H91" s="28" t="s">
        <v>136</v>
      </c>
      <c r="I91" s="28" t="s">
        <v>136</v>
      </c>
      <c r="J91" s="28" t="s">
        <v>160</v>
      </c>
      <c r="K91" s="100">
        <v>3.56</v>
      </c>
      <c r="L91" s="141"/>
      <c r="M91" s="141"/>
      <c r="N91" s="36">
        <v>0.3</v>
      </c>
      <c r="O91" s="37">
        <f t="shared" si="5"/>
        <v>8330400</v>
      </c>
    </row>
    <row r="92" spans="1:15" ht="22.5" customHeight="1" x14ac:dyDescent="0.35">
      <c r="A92" s="33">
        <v>78</v>
      </c>
      <c r="B92" s="34" t="s">
        <v>397</v>
      </c>
      <c r="C92" s="22"/>
      <c r="D92" s="42">
        <v>2696022850</v>
      </c>
      <c r="E92" s="24" t="s">
        <v>398</v>
      </c>
      <c r="F92" s="25" t="s">
        <v>399</v>
      </c>
      <c r="G92" s="26" t="s">
        <v>400</v>
      </c>
      <c r="H92" s="28" t="s">
        <v>136</v>
      </c>
      <c r="I92" s="28" t="s">
        <v>136</v>
      </c>
      <c r="J92" s="22" t="s">
        <v>164</v>
      </c>
      <c r="K92" s="100">
        <v>4.2</v>
      </c>
      <c r="L92" s="100"/>
      <c r="M92" s="100"/>
      <c r="N92" s="36">
        <v>0.3</v>
      </c>
      <c r="O92" s="37">
        <f t="shared" si="5"/>
        <v>9828000</v>
      </c>
    </row>
    <row r="93" spans="1:15" ht="22.5" customHeight="1" x14ac:dyDescent="0.35">
      <c r="A93" s="33">
        <v>79</v>
      </c>
      <c r="B93" s="34" t="s">
        <v>401</v>
      </c>
      <c r="C93" s="22"/>
      <c r="D93" s="23" t="s">
        <v>402</v>
      </c>
      <c r="E93" s="24" t="s">
        <v>403</v>
      </c>
      <c r="F93" s="25" t="s">
        <v>404</v>
      </c>
      <c r="G93" s="26" t="s">
        <v>405</v>
      </c>
      <c r="H93" s="28" t="s">
        <v>129</v>
      </c>
      <c r="I93" s="28" t="s">
        <v>129</v>
      </c>
      <c r="J93" s="22" t="s">
        <v>164</v>
      </c>
      <c r="K93" s="100">
        <v>4.4000000000000004</v>
      </c>
      <c r="L93" s="100"/>
      <c r="M93" s="100"/>
      <c r="N93" s="36">
        <v>0.3</v>
      </c>
      <c r="O93" s="37">
        <f t="shared" si="5"/>
        <v>10296000</v>
      </c>
    </row>
    <row r="94" spans="1:15" ht="22.5" customHeight="1" x14ac:dyDescent="0.35">
      <c r="A94" s="33">
        <v>80</v>
      </c>
      <c r="B94" s="34" t="s">
        <v>406</v>
      </c>
      <c r="C94" s="22"/>
      <c r="D94" s="54" t="s">
        <v>407</v>
      </c>
      <c r="E94" s="40" t="s">
        <v>408</v>
      </c>
      <c r="F94" s="25" t="s">
        <v>409</v>
      </c>
      <c r="G94" s="26" t="s">
        <v>410</v>
      </c>
      <c r="H94" s="28" t="s">
        <v>136</v>
      </c>
      <c r="I94" s="28" t="s">
        <v>136</v>
      </c>
      <c r="J94" s="22" t="s">
        <v>175</v>
      </c>
      <c r="K94" s="100">
        <v>2.5499999999999998</v>
      </c>
      <c r="L94" s="100"/>
      <c r="M94" s="100"/>
      <c r="N94" s="36">
        <v>0.3</v>
      </c>
      <c r="O94" s="37">
        <f t="shared" si="5"/>
        <v>5967000</v>
      </c>
    </row>
    <row r="95" spans="1:15" ht="22.5" customHeight="1" x14ac:dyDescent="0.35">
      <c r="A95" s="33">
        <v>81</v>
      </c>
      <c r="B95" s="34" t="s">
        <v>411</v>
      </c>
      <c r="C95" s="22"/>
      <c r="D95" s="42">
        <v>2696027296</v>
      </c>
      <c r="E95" s="24" t="s">
        <v>412</v>
      </c>
      <c r="F95" s="25" t="s">
        <v>413</v>
      </c>
      <c r="G95" s="26" t="s">
        <v>238</v>
      </c>
      <c r="H95" s="28" t="s">
        <v>136</v>
      </c>
      <c r="I95" s="28" t="s">
        <v>136</v>
      </c>
      <c r="J95" s="22" t="s">
        <v>164</v>
      </c>
      <c r="K95" s="100">
        <v>4.2</v>
      </c>
      <c r="L95" s="100"/>
      <c r="M95" s="100"/>
      <c r="N95" s="36">
        <v>0.3</v>
      </c>
      <c r="O95" s="37">
        <f t="shared" si="5"/>
        <v>9828000</v>
      </c>
    </row>
    <row r="96" spans="1:15" ht="22.5" customHeight="1" x14ac:dyDescent="0.35">
      <c r="A96" s="33">
        <v>82</v>
      </c>
      <c r="B96" s="34" t="s">
        <v>414</v>
      </c>
      <c r="C96" s="22" t="s">
        <v>21</v>
      </c>
      <c r="D96" s="23" t="s">
        <v>415</v>
      </c>
      <c r="E96" s="24" t="s">
        <v>416</v>
      </c>
      <c r="F96" s="25" t="s">
        <v>417</v>
      </c>
      <c r="G96" s="26" t="s">
        <v>418</v>
      </c>
      <c r="H96" s="28" t="s">
        <v>136</v>
      </c>
      <c r="I96" s="28" t="s">
        <v>419</v>
      </c>
      <c r="J96" s="22" t="s">
        <v>302</v>
      </c>
      <c r="K96" s="100">
        <v>3.7</v>
      </c>
      <c r="L96" s="100"/>
      <c r="M96" s="100"/>
      <c r="N96" s="36">
        <v>0.3</v>
      </c>
      <c r="O96" s="37">
        <f t="shared" si="5"/>
        <v>8658000</v>
      </c>
    </row>
    <row r="97" spans="1:15" ht="22.5" customHeight="1" x14ac:dyDescent="0.35">
      <c r="A97" s="33">
        <v>83</v>
      </c>
      <c r="B97" s="34" t="s">
        <v>420</v>
      </c>
      <c r="C97" s="22"/>
      <c r="D97" s="23" t="s">
        <v>421</v>
      </c>
      <c r="E97" s="24">
        <v>34902</v>
      </c>
      <c r="F97" s="25" t="s">
        <v>422</v>
      </c>
      <c r="G97" s="26" t="s">
        <v>423</v>
      </c>
      <c r="H97" s="28" t="s">
        <v>136</v>
      </c>
      <c r="I97" s="28" t="s">
        <v>273</v>
      </c>
      <c r="J97" s="22" t="s">
        <v>190</v>
      </c>
      <c r="K97" s="100">
        <v>1.83</v>
      </c>
      <c r="L97" s="100"/>
      <c r="M97" s="100"/>
      <c r="N97" s="36">
        <v>0.3</v>
      </c>
      <c r="O97" s="37">
        <f t="shared" si="5"/>
        <v>4282200</v>
      </c>
    </row>
    <row r="98" spans="1:15" ht="22.5" customHeight="1" x14ac:dyDescent="0.35">
      <c r="A98" s="33">
        <v>84</v>
      </c>
      <c r="B98" s="34" t="s">
        <v>424</v>
      </c>
      <c r="C98" s="22"/>
      <c r="D98" s="62">
        <v>3421101825</v>
      </c>
      <c r="E98" s="24">
        <v>38334</v>
      </c>
      <c r="F98" s="25" t="s">
        <v>425</v>
      </c>
      <c r="G98" s="26" t="s">
        <v>426</v>
      </c>
      <c r="H98" s="28" t="s">
        <v>136</v>
      </c>
      <c r="I98" s="28" t="s">
        <v>136</v>
      </c>
      <c r="J98" s="22" t="s">
        <v>190</v>
      </c>
      <c r="K98" s="100">
        <v>1.83</v>
      </c>
      <c r="L98" s="100"/>
      <c r="M98" s="100"/>
      <c r="N98" s="36">
        <v>0.3</v>
      </c>
      <c r="O98" s="37">
        <f t="shared" si="5"/>
        <v>4282200</v>
      </c>
    </row>
    <row r="99" spans="1:15" ht="22.5" customHeight="1" x14ac:dyDescent="0.35">
      <c r="A99" s="33">
        <v>85</v>
      </c>
      <c r="B99" s="34" t="s">
        <v>427</v>
      </c>
      <c r="C99" s="63"/>
      <c r="D99" s="45">
        <v>2605000300</v>
      </c>
      <c r="E99" s="40" t="s">
        <v>428</v>
      </c>
      <c r="F99" s="25" t="s">
        <v>429</v>
      </c>
      <c r="G99" s="26" t="s">
        <v>430</v>
      </c>
      <c r="H99" s="28" t="s">
        <v>136</v>
      </c>
      <c r="I99" s="28" t="s">
        <v>136</v>
      </c>
      <c r="J99" s="28" t="s">
        <v>160</v>
      </c>
      <c r="K99" s="100">
        <v>3.56</v>
      </c>
      <c r="L99" s="141"/>
      <c r="M99" s="141"/>
      <c r="N99" s="36">
        <v>0.3</v>
      </c>
      <c r="O99" s="37">
        <f t="shared" si="5"/>
        <v>8330400</v>
      </c>
    </row>
    <row r="100" spans="1:15" ht="22.5" customHeight="1" x14ac:dyDescent="0.35">
      <c r="A100" s="46"/>
      <c r="B100" s="47" t="s">
        <v>431</v>
      </c>
      <c r="C100" s="64"/>
      <c r="D100" s="65"/>
      <c r="E100" s="65"/>
      <c r="F100" s="50"/>
      <c r="G100" s="39"/>
      <c r="H100" s="52"/>
      <c r="I100" s="52"/>
      <c r="J100" s="52"/>
      <c r="K100" s="159"/>
      <c r="L100" s="160"/>
      <c r="M100" s="160"/>
      <c r="N100" s="52"/>
      <c r="O100" s="53"/>
    </row>
    <row r="101" spans="1:15" ht="22.5" customHeight="1" x14ac:dyDescent="0.35">
      <c r="A101" s="33">
        <v>86</v>
      </c>
      <c r="B101" s="34" t="s">
        <v>432</v>
      </c>
      <c r="C101" s="22"/>
      <c r="D101" s="23" t="s">
        <v>433</v>
      </c>
      <c r="E101" s="24" t="s">
        <v>434</v>
      </c>
      <c r="F101" s="25" t="s">
        <v>435</v>
      </c>
      <c r="G101" s="26" t="s">
        <v>436</v>
      </c>
      <c r="H101" s="28" t="s">
        <v>145</v>
      </c>
      <c r="I101" s="28" t="s">
        <v>27</v>
      </c>
      <c r="J101" s="22" t="s">
        <v>50</v>
      </c>
      <c r="K101" s="100">
        <v>4.51</v>
      </c>
      <c r="L101" s="100"/>
      <c r="M101" s="100">
        <v>0.2</v>
      </c>
      <c r="N101" s="36">
        <v>0.3</v>
      </c>
      <c r="O101" s="37">
        <f t="shared" ref="O101:O110" si="6">(K101+L101+M101)*2340000</f>
        <v>11021400</v>
      </c>
    </row>
    <row r="102" spans="1:15" ht="22.5" customHeight="1" x14ac:dyDescent="0.35">
      <c r="A102" s="33">
        <v>87</v>
      </c>
      <c r="B102" s="34" t="s">
        <v>437</v>
      </c>
      <c r="C102" s="22" t="s">
        <v>21</v>
      </c>
      <c r="D102" s="42">
        <v>2604004615</v>
      </c>
      <c r="E102" s="24" t="s">
        <v>438</v>
      </c>
      <c r="F102" s="25" t="s">
        <v>439</v>
      </c>
      <c r="G102" s="26" t="s">
        <v>440</v>
      </c>
      <c r="H102" s="28" t="s">
        <v>441</v>
      </c>
      <c r="I102" s="28" t="s">
        <v>49</v>
      </c>
      <c r="J102" s="22" t="s">
        <v>43</v>
      </c>
      <c r="K102" s="100">
        <v>3.89</v>
      </c>
      <c r="L102" s="100"/>
      <c r="M102" s="100">
        <v>0.1</v>
      </c>
      <c r="N102" s="36">
        <v>0.3</v>
      </c>
      <c r="O102" s="37">
        <f t="shared" si="6"/>
        <v>9336600</v>
      </c>
    </row>
    <row r="103" spans="1:15" ht="22.5" customHeight="1" x14ac:dyDescent="0.35">
      <c r="A103" s="33">
        <v>88</v>
      </c>
      <c r="B103" s="34" t="s">
        <v>442</v>
      </c>
      <c r="C103" s="22" t="s">
        <v>21</v>
      </c>
      <c r="D103" s="42">
        <v>2601002538</v>
      </c>
      <c r="E103" s="24" t="s">
        <v>443</v>
      </c>
      <c r="F103" s="25" t="s">
        <v>444</v>
      </c>
      <c r="G103" s="26" t="s">
        <v>445</v>
      </c>
      <c r="H103" s="28" t="s">
        <v>136</v>
      </c>
      <c r="I103" s="28" t="s">
        <v>136</v>
      </c>
      <c r="J103" s="22" t="s">
        <v>164</v>
      </c>
      <c r="K103" s="100">
        <v>4.2</v>
      </c>
      <c r="L103" s="100"/>
      <c r="M103" s="100"/>
      <c r="N103" s="36">
        <v>0.3</v>
      </c>
      <c r="O103" s="37">
        <f t="shared" si="6"/>
        <v>9828000</v>
      </c>
    </row>
    <row r="104" spans="1:15" ht="22.5" customHeight="1" x14ac:dyDescent="0.35">
      <c r="A104" s="33">
        <v>89</v>
      </c>
      <c r="B104" s="34" t="s">
        <v>446</v>
      </c>
      <c r="C104" s="22" t="s">
        <v>21</v>
      </c>
      <c r="D104" s="42">
        <v>2600003127</v>
      </c>
      <c r="E104" s="24" t="s">
        <v>447</v>
      </c>
      <c r="F104" s="25" t="s">
        <v>448</v>
      </c>
      <c r="G104" s="26" t="s">
        <v>449</v>
      </c>
      <c r="H104" s="28" t="s">
        <v>136</v>
      </c>
      <c r="I104" s="28" t="s">
        <v>136</v>
      </c>
      <c r="J104" s="28" t="s">
        <v>160</v>
      </c>
      <c r="K104" s="100">
        <v>3.56</v>
      </c>
      <c r="L104" s="100"/>
      <c r="M104" s="100"/>
      <c r="N104" s="36">
        <v>0.3</v>
      </c>
      <c r="O104" s="37">
        <f t="shared" si="6"/>
        <v>8330400</v>
      </c>
    </row>
    <row r="105" spans="1:15" ht="22.5" customHeight="1" x14ac:dyDescent="0.35">
      <c r="A105" s="33">
        <v>90</v>
      </c>
      <c r="B105" s="34" t="s">
        <v>450</v>
      </c>
      <c r="C105" s="22" t="s">
        <v>21</v>
      </c>
      <c r="D105" s="42">
        <v>2696027265</v>
      </c>
      <c r="E105" s="24" t="s">
        <v>451</v>
      </c>
      <c r="F105" s="25" t="s">
        <v>452</v>
      </c>
      <c r="G105" s="26" t="s">
        <v>453</v>
      </c>
      <c r="H105" s="28" t="s">
        <v>136</v>
      </c>
      <c r="I105" s="28" t="s">
        <v>136</v>
      </c>
      <c r="J105" s="28" t="s">
        <v>160</v>
      </c>
      <c r="K105" s="100">
        <v>3.56</v>
      </c>
      <c r="L105" s="100"/>
      <c r="M105" s="100"/>
      <c r="N105" s="36">
        <v>0.3</v>
      </c>
      <c r="O105" s="37">
        <f t="shared" si="6"/>
        <v>8330400</v>
      </c>
    </row>
    <row r="106" spans="1:15" ht="22.5" customHeight="1" x14ac:dyDescent="0.35">
      <c r="A106" s="33">
        <v>91</v>
      </c>
      <c r="B106" s="34" t="s">
        <v>454</v>
      </c>
      <c r="C106" s="22" t="s">
        <v>21</v>
      </c>
      <c r="D106" s="23" t="s">
        <v>455</v>
      </c>
      <c r="E106" s="40" t="s">
        <v>456</v>
      </c>
      <c r="F106" s="25" t="s">
        <v>457</v>
      </c>
      <c r="G106" s="26" t="s">
        <v>458</v>
      </c>
      <c r="H106" s="28" t="s">
        <v>136</v>
      </c>
      <c r="I106" s="28" t="s">
        <v>136</v>
      </c>
      <c r="J106" s="28" t="s">
        <v>130</v>
      </c>
      <c r="K106" s="141">
        <v>3.01</v>
      </c>
      <c r="L106" s="100"/>
      <c r="M106" s="100"/>
      <c r="N106" s="36">
        <v>0.3</v>
      </c>
      <c r="O106" s="37">
        <f t="shared" si="6"/>
        <v>7043399.9999999991</v>
      </c>
    </row>
    <row r="107" spans="1:15" ht="22.5" customHeight="1" x14ac:dyDescent="0.35">
      <c r="A107" s="33">
        <v>92</v>
      </c>
      <c r="B107" s="34" t="s">
        <v>459</v>
      </c>
      <c r="C107" s="22"/>
      <c r="D107" s="42">
        <v>2696027264</v>
      </c>
      <c r="E107" s="24" t="s">
        <v>460</v>
      </c>
      <c r="F107" s="25" t="s">
        <v>461</v>
      </c>
      <c r="G107" s="26" t="s">
        <v>462</v>
      </c>
      <c r="H107" s="28" t="s">
        <v>136</v>
      </c>
      <c r="I107" s="28" t="s">
        <v>136</v>
      </c>
      <c r="J107" s="22" t="s">
        <v>164</v>
      </c>
      <c r="K107" s="100">
        <v>4.2</v>
      </c>
      <c r="L107" s="100"/>
      <c r="M107" s="100"/>
      <c r="N107" s="36">
        <v>0.3</v>
      </c>
      <c r="O107" s="37">
        <f t="shared" si="6"/>
        <v>9828000</v>
      </c>
    </row>
    <row r="108" spans="1:15" ht="22.5" customHeight="1" x14ac:dyDescent="0.35">
      <c r="A108" s="33">
        <v>93</v>
      </c>
      <c r="B108" s="34" t="s">
        <v>463</v>
      </c>
      <c r="C108" s="22"/>
      <c r="D108" s="42">
        <v>2696028722</v>
      </c>
      <c r="E108" s="24" t="s">
        <v>464</v>
      </c>
      <c r="F108" s="25" t="s">
        <v>465</v>
      </c>
      <c r="G108" s="26" t="s">
        <v>466</v>
      </c>
      <c r="H108" s="28" t="s">
        <v>136</v>
      </c>
      <c r="I108" s="28" t="s">
        <v>136</v>
      </c>
      <c r="J108" s="22" t="s">
        <v>164</v>
      </c>
      <c r="K108" s="100">
        <v>4.2</v>
      </c>
      <c r="L108" s="100"/>
      <c r="M108" s="100"/>
      <c r="N108" s="36">
        <v>0.3</v>
      </c>
      <c r="O108" s="37">
        <f t="shared" si="6"/>
        <v>9828000</v>
      </c>
    </row>
    <row r="109" spans="1:15" ht="22.5" customHeight="1" x14ac:dyDescent="0.35">
      <c r="A109" s="33">
        <v>94</v>
      </c>
      <c r="B109" s="34" t="s">
        <v>467</v>
      </c>
      <c r="C109" s="22"/>
      <c r="D109" s="23" t="s">
        <v>468</v>
      </c>
      <c r="E109" s="24">
        <v>30927</v>
      </c>
      <c r="F109" s="25" t="s">
        <v>469</v>
      </c>
      <c r="G109" s="26" t="s">
        <v>470</v>
      </c>
      <c r="H109" s="28" t="s">
        <v>136</v>
      </c>
      <c r="I109" s="28" t="s">
        <v>136</v>
      </c>
      <c r="J109" s="22" t="s">
        <v>137</v>
      </c>
      <c r="K109" s="100">
        <v>2.16</v>
      </c>
      <c r="L109" s="100"/>
      <c r="M109" s="100"/>
      <c r="N109" s="36">
        <v>0.3</v>
      </c>
      <c r="O109" s="37">
        <f t="shared" si="6"/>
        <v>5054400</v>
      </c>
    </row>
    <row r="110" spans="1:15" ht="22.5" customHeight="1" x14ac:dyDescent="0.35">
      <c r="A110" s="33">
        <v>95</v>
      </c>
      <c r="B110" s="34" t="s">
        <v>471</v>
      </c>
      <c r="C110" s="22"/>
      <c r="D110" s="42">
        <v>2696027258</v>
      </c>
      <c r="E110" s="24" t="s">
        <v>472</v>
      </c>
      <c r="F110" s="25" t="s">
        <v>473</v>
      </c>
      <c r="G110" s="26" t="s">
        <v>474</v>
      </c>
      <c r="H110" s="28" t="s">
        <v>136</v>
      </c>
      <c r="I110" s="28" t="s">
        <v>136</v>
      </c>
      <c r="J110" s="28" t="s">
        <v>160</v>
      </c>
      <c r="K110" s="100">
        <v>3.56</v>
      </c>
      <c r="L110" s="100"/>
      <c r="M110" s="100"/>
      <c r="N110" s="36">
        <v>0.3</v>
      </c>
      <c r="O110" s="37">
        <f t="shared" si="6"/>
        <v>8330400</v>
      </c>
    </row>
    <row r="111" spans="1:15" ht="22.5" customHeight="1" x14ac:dyDescent="0.35">
      <c r="A111" s="33"/>
      <c r="B111" s="47" t="s">
        <v>475</v>
      </c>
      <c r="C111" s="22"/>
      <c r="D111" s="42"/>
      <c r="E111" s="42"/>
      <c r="F111" s="57"/>
      <c r="G111" s="38"/>
      <c r="H111" s="28"/>
      <c r="I111" s="28"/>
      <c r="J111" s="36"/>
      <c r="K111" s="100"/>
      <c r="L111" s="100"/>
      <c r="M111" s="100"/>
      <c r="N111" s="36"/>
      <c r="O111" s="37"/>
    </row>
    <row r="112" spans="1:15" ht="22.5" customHeight="1" x14ac:dyDescent="0.35">
      <c r="A112" s="33">
        <v>96</v>
      </c>
      <c r="B112" s="34" t="s">
        <v>476</v>
      </c>
      <c r="C112" s="22" t="s">
        <v>21</v>
      </c>
      <c r="D112" s="42">
        <v>2696027240</v>
      </c>
      <c r="E112" s="24" t="s">
        <v>477</v>
      </c>
      <c r="F112" s="25" t="s">
        <v>478</v>
      </c>
      <c r="G112" s="26" t="s">
        <v>479</v>
      </c>
      <c r="H112" s="28" t="s">
        <v>145</v>
      </c>
      <c r="I112" s="28" t="s">
        <v>27</v>
      </c>
      <c r="J112" s="22" t="s">
        <v>50</v>
      </c>
      <c r="K112" s="100">
        <v>4.51</v>
      </c>
      <c r="L112" s="100"/>
      <c r="M112" s="100">
        <v>0.2</v>
      </c>
      <c r="N112" s="36">
        <v>0.3</v>
      </c>
      <c r="O112" s="37">
        <f t="shared" ref="O112:O123" si="7">(K112+L112+M112)*2340000</f>
        <v>11021400</v>
      </c>
    </row>
    <row r="113" spans="1:15" ht="22.5" customHeight="1" x14ac:dyDescent="0.35">
      <c r="A113" s="33">
        <v>97</v>
      </c>
      <c r="B113" s="34" t="s">
        <v>480</v>
      </c>
      <c r="C113" s="22" t="s">
        <v>21</v>
      </c>
      <c r="D113" s="42">
        <v>2606003272</v>
      </c>
      <c r="E113" s="24" t="s">
        <v>481</v>
      </c>
      <c r="F113" s="25" t="s">
        <v>482</v>
      </c>
      <c r="G113" s="26" t="s">
        <v>118</v>
      </c>
      <c r="H113" s="28" t="s">
        <v>150</v>
      </c>
      <c r="I113" s="28" t="s">
        <v>27</v>
      </c>
      <c r="J113" s="22" t="s">
        <v>96</v>
      </c>
      <c r="K113" s="100">
        <v>3.58</v>
      </c>
      <c r="L113" s="100"/>
      <c r="M113" s="100"/>
      <c r="N113" s="36">
        <v>0.3</v>
      </c>
      <c r="O113" s="37">
        <f t="shared" si="7"/>
        <v>8377200</v>
      </c>
    </row>
    <row r="114" spans="1:15" ht="22.5" customHeight="1" x14ac:dyDescent="0.35">
      <c r="A114" s="33">
        <v>98</v>
      </c>
      <c r="B114" s="34" t="s">
        <v>483</v>
      </c>
      <c r="C114" s="22"/>
      <c r="D114" s="54" t="s">
        <v>484</v>
      </c>
      <c r="E114" s="40" t="s">
        <v>485</v>
      </c>
      <c r="F114" s="25" t="s">
        <v>486</v>
      </c>
      <c r="G114" s="26" t="s">
        <v>487</v>
      </c>
      <c r="H114" s="28" t="s">
        <v>150</v>
      </c>
      <c r="I114" s="28" t="s">
        <v>27</v>
      </c>
      <c r="J114" s="22" t="s">
        <v>63</v>
      </c>
      <c r="K114" s="100">
        <v>2.96</v>
      </c>
      <c r="L114" s="100"/>
      <c r="M114" s="100"/>
      <c r="N114" s="36">
        <v>0.3</v>
      </c>
      <c r="O114" s="37">
        <f t="shared" si="7"/>
        <v>6926400</v>
      </c>
    </row>
    <row r="115" spans="1:15" ht="22.5" customHeight="1" x14ac:dyDescent="0.35">
      <c r="A115" s="33">
        <v>99</v>
      </c>
      <c r="B115" s="34" t="s">
        <v>488</v>
      </c>
      <c r="C115" s="22"/>
      <c r="D115" s="42">
        <v>2696027241</v>
      </c>
      <c r="E115" s="24" t="s">
        <v>489</v>
      </c>
      <c r="F115" s="25" t="s">
        <v>490</v>
      </c>
      <c r="G115" s="26" t="s">
        <v>491</v>
      </c>
      <c r="H115" s="28" t="s">
        <v>272</v>
      </c>
      <c r="I115" s="28" t="s">
        <v>136</v>
      </c>
      <c r="J115" s="22" t="s">
        <v>164</v>
      </c>
      <c r="K115" s="100">
        <v>4.2</v>
      </c>
      <c r="L115" s="100"/>
      <c r="M115" s="100">
        <v>0.1</v>
      </c>
      <c r="N115" s="36">
        <v>0.3</v>
      </c>
      <c r="O115" s="37">
        <f t="shared" si="7"/>
        <v>10062000</v>
      </c>
    </row>
    <row r="116" spans="1:15" ht="22.5" customHeight="1" x14ac:dyDescent="0.35">
      <c r="A116" s="33">
        <v>100</v>
      </c>
      <c r="B116" s="34" t="s">
        <v>492</v>
      </c>
      <c r="C116" s="22"/>
      <c r="D116" s="23" t="s">
        <v>493</v>
      </c>
      <c r="E116" s="24" t="s">
        <v>494</v>
      </c>
      <c r="F116" s="25" t="s">
        <v>495</v>
      </c>
      <c r="G116" s="26" t="s">
        <v>453</v>
      </c>
      <c r="H116" s="28" t="s">
        <v>136</v>
      </c>
      <c r="I116" s="28" t="s">
        <v>136</v>
      </c>
      <c r="J116" s="28" t="s">
        <v>160</v>
      </c>
      <c r="K116" s="100">
        <v>3.56</v>
      </c>
      <c r="L116" s="100"/>
      <c r="M116" s="100"/>
      <c r="N116" s="36">
        <v>0.3</v>
      </c>
      <c r="O116" s="37">
        <f t="shared" si="7"/>
        <v>8330400</v>
      </c>
    </row>
    <row r="117" spans="1:15" ht="22.5" customHeight="1" x14ac:dyDescent="0.35">
      <c r="A117" s="33">
        <v>101</v>
      </c>
      <c r="B117" s="34" t="s">
        <v>119</v>
      </c>
      <c r="C117" s="22"/>
      <c r="D117" s="23" t="s">
        <v>496</v>
      </c>
      <c r="E117" s="24" t="s">
        <v>497</v>
      </c>
      <c r="F117" s="25" t="s">
        <v>498</v>
      </c>
      <c r="G117" s="26" t="s">
        <v>128</v>
      </c>
      <c r="H117" s="28" t="s">
        <v>136</v>
      </c>
      <c r="I117" s="28" t="s">
        <v>136</v>
      </c>
      <c r="J117" s="28" t="s">
        <v>130</v>
      </c>
      <c r="K117" s="141">
        <v>3.01</v>
      </c>
      <c r="L117" s="100"/>
      <c r="M117" s="100"/>
      <c r="N117" s="36">
        <v>0.3</v>
      </c>
      <c r="O117" s="37">
        <f t="shared" si="7"/>
        <v>7043399.9999999991</v>
      </c>
    </row>
    <row r="118" spans="1:15" ht="22.5" customHeight="1" x14ac:dyDescent="0.35">
      <c r="A118" s="33">
        <v>102</v>
      </c>
      <c r="B118" s="34" t="s">
        <v>499</v>
      </c>
      <c r="C118" s="22"/>
      <c r="D118" s="23" t="s">
        <v>500</v>
      </c>
      <c r="E118" s="40" t="s">
        <v>501</v>
      </c>
      <c r="F118" s="25" t="s">
        <v>502</v>
      </c>
      <c r="G118" s="26" t="s">
        <v>363</v>
      </c>
      <c r="H118" s="28" t="s">
        <v>136</v>
      </c>
      <c r="I118" s="28" t="s">
        <v>136</v>
      </c>
      <c r="J118" s="28" t="s">
        <v>130</v>
      </c>
      <c r="K118" s="141">
        <v>3.01</v>
      </c>
      <c r="L118" s="100"/>
      <c r="M118" s="100"/>
      <c r="N118" s="36">
        <v>0.3</v>
      </c>
      <c r="O118" s="37">
        <f t="shared" si="7"/>
        <v>7043399.9999999991</v>
      </c>
    </row>
    <row r="119" spans="1:15" ht="22.5" customHeight="1" x14ac:dyDescent="0.35">
      <c r="A119" s="33">
        <v>103</v>
      </c>
      <c r="B119" s="34" t="s">
        <v>503</v>
      </c>
      <c r="C119" s="22" t="s">
        <v>21</v>
      </c>
      <c r="D119" s="54" t="s">
        <v>504</v>
      </c>
      <c r="E119" s="40" t="s">
        <v>505</v>
      </c>
      <c r="F119" s="25" t="s">
        <v>506</v>
      </c>
      <c r="G119" s="26" t="s">
        <v>251</v>
      </c>
      <c r="H119" s="28" t="s">
        <v>136</v>
      </c>
      <c r="I119" s="28" t="s">
        <v>136</v>
      </c>
      <c r="J119" s="22" t="s">
        <v>175</v>
      </c>
      <c r="K119" s="100">
        <v>2.5499999999999998</v>
      </c>
      <c r="L119" s="100"/>
      <c r="M119" s="100"/>
      <c r="N119" s="36">
        <v>0.3</v>
      </c>
      <c r="O119" s="37">
        <f t="shared" si="7"/>
        <v>5967000</v>
      </c>
    </row>
    <row r="120" spans="1:15" ht="22.5" customHeight="1" x14ac:dyDescent="0.35">
      <c r="A120" s="33">
        <v>104</v>
      </c>
      <c r="B120" s="34" t="s">
        <v>507</v>
      </c>
      <c r="C120" s="22"/>
      <c r="D120" s="42">
        <v>3408007110</v>
      </c>
      <c r="E120" s="24" t="s">
        <v>508</v>
      </c>
      <c r="F120" s="25" t="s">
        <v>509</v>
      </c>
      <c r="G120" s="26" t="s">
        <v>94</v>
      </c>
      <c r="H120" s="28" t="s">
        <v>136</v>
      </c>
      <c r="I120" s="28" t="s">
        <v>136</v>
      </c>
      <c r="J120" s="28" t="s">
        <v>160</v>
      </c>
      <c r="K120" s="100">
        <v>3.56</v>
      </c>
      <c r="L120" s="100"/>
      <c r="M120" s="100"/>
      <c r="N120" s="36">
        <v>0.3</v>
      </c>
      <c r="O120" s="37">
        <f t="shared" si="7"/>
        <v>8330400</v>
      </c>
    </row>
    <row r="121" spans="1:15" ht="22.5" customHeight="1" x14ac:dyDescent="0.35">
      <c r="A121" s="33">
        <v>105</v>
      </c>
      <c r="B121" s="34" t="s">
        <v>510</v>
      </c>
      <c r="C121" s="22"/>
      <c r="D121" s="54" t="s">
        <v>511</v>
      </c>
      <c r="E121" s="40" t="s">
        <v>512</v>
      </c>
      <c r="F121" s="25" t="s">
        <v>513</v>
      </c>
      <c r="G121" s="26" t="s">
        <v>514</v>
      </c>
      <c r="H121" s="28" t="s">
        <v>136</v>
      </c>
      <c r="I121" s="28" t="s">
        <v>136</v>
      </c>
      <c r="J121" s="22" t="s">
        <v>175</v>
      </c>
      <c r="K121" s="100">
        <v>2.5499999999999998</v>
      </c>
      <c r="L121" s="100"/>
      <c r="M121" s="100"/>
      <c r="N121" s="36">
        <v>0.3</v>
      </c>
      <c r="O121" s="37">
        <f t="shared" si="7"/>
        <v>5967000</v>
      </c>
    </row>
    <row r="122" spans="1:15" ht="22.5" customHeight="1" x14ac:dyDescent="0.35">
      <c r="A122" s="33">
        <v>106</v>
      </c>
      <c r="B122" s="34" t="s">
        <v>515</v>
      </c>
      <c r="C122" s="44" t="s">
        <v>21</v>
      </c>
      <c r="D122" s="42">
        <v>2602002553</v>
      </c>
      <c r="E122" s="24" t="s">
        <v>516</v>
      </c>
      <c r="F122" s="25" t="s">
        <v>517</v>
      </c>
      <c r="G122" s="26" t="s">
        <v>518</v>
      </c>
      <c r="H122" s="28" t="s">
        <v>136</v>
      </c>
      <c r="I122" s="28" t="s">
        <v>136</v>
      </c>
      <c r="J122" s="22" t="s">
        <v>164</v>
      </c>
      <c r="K122" s="100">
        <v>4.2</v>
      </c>
      <c r="L122" s="100"/>
      <c r="M122" s="100"/>
      <c r="N122" s="36">
        <v>0.3</v>
      </c>
      <c r="O122" s="37">
        <f t="shared" si="7"/>
        <v>9828000</v>
      </c>
    </row>
    <row r="123" spans="1:15" ht="22.5" customHeight="1" x14ac:dyDescent="0.35">
      <c r="A123" s="33">
        <v>107</v>
      </c>
      <c r="B123" s="34" t="s">
        <v>519</v>
      </c>
      <c r="C123" s="22"/>
      <c r="D123" s="42">
        <v>2696027229</v>
      </c>
      <c r="E123" s="24" t="s">
        <v>520</v>
      </c>
      <c r="F123" s="25" t="s">
        <v>521</v>
      </c>
      <c r="G123" s="26" t="s">
        <v>522</v>
      </c>
      <c r="H123" s="28" t="s">
        <v>136</v>
      </c>
      <c r="I123" s="28" t="s">
        <v>136</v>
      </c>
      <c r="J123" s="28" t="s">
        <v>160</v>
      </c>
      <c r="K123" s="100">
        <v>3.56</v>
      </c>
      <c r="L123" s="100"/>
      <c r="M123" s="100"/>
      <c r="N123" s="36">
        <v>0.3</v>
      </c>
      <c r="O123" s="37">
        <f t="shared" si="7"/>
        <v>8330400</v>
      </c>
    </row>
    <row r="124" spans="1:15" ht="22.5" customHeight="1" x14ac:dyDescent="0.35">
      <c r="A124" s="33"/>
      <c r="B124" s="47" t="s">
        <v>523</v>
      </c>
      <c r="C124" s="22"/>
      <c r="D124" s="42"/>
      <c r="E124" s="42"/>
      <c r="F124" s="57"/>
      <c r="G124" s="38"/>
      <c r="H124" s="36"/>
      <c r="I124" s="36"/>
      <c r="J124" s="36"/>
      <c r="K124" s="100"/>
      <c r="L124" s="100"/>
      <c r="M124" s="100"/>
      <c r="N124" s="36"/>
      <c r="O124" s="37"/>
    </row>
    <row r="125" spans="1:15" ht="22.5" customHeight="1" x14ac:dyDescent="0.35">
      <c r="A125" s="33">
        <v>108</v>
      </c>
      <c r="B125" s="34" t="s">
        <v>524</v>
      </c>
      <c r="C125" s="22"/>
      <c r="D125" s="42">
        <v>2696002879</v>
      </c>
      <c r="E125" s="24" t="s">
        <v>525</v>
      </c>
      <c r="F125" s="25" t="s">
        <v>526</v>
      </c>
      <c r="G125" s="26" t="s">
        <v>33</v>
      </c>
      <c r="H125" s="28" t="s">
        <v>145</v>
      </c>
      <c r="I125" s="28" t="s">
        <v>27</v>
      </c>
      <c r="J125" s="22" t="s">
        <v>50</v>
      </c>
      <c r="K125" s="100">
        <v>4.51</v>
      </c>
      <c r="L125" s="100"/>
      <c r="M125" s="100">
        <v>0.2</v>
      </c>
      <c r="N125" s="36">
        <v>0.3</v>
      </c>
      <c r="O125" s="37">
        <f t="shared" ref="O125:O138" si="8">(K125+L125+M125)*2340000</f>
        <v>11021400</v>
      </c>
    </row>
    <row r="126" spans="1:15" ht="22.5" customHeight="1" x14ac:dyDescent="0.35">
      <c r="A126" s="33">
        <v>109</v>
      </c>
      <c r="B126" s="34" t="s">
        <v>527</v>
      </c>
      <c r="C126" s="22" t="s">
        <v>21</v>
      </c>
      <c r="D126" s="23" t="s">
        <v>528</v>
      </c>
      <c r="E126" s="24" t="s">
        <v>529</v>
      </c>
      <c r="F126" s="25" t="s">
        <v>530</v>
      </c>
      <c r="G126" s="26" t="s">
        <v>128</v>
      </c>
      <c r="H126" s="28" t="s">
        <v>150</v>
      </c>
      <c r="I126" s="28" t="s">
        <v>27</v>
      </c>
      <c r="J126" s="22" t="s">
        <v>96</v>
      </c>
      <c r="K126" s="100">
        <v>3.58</v>
      </c>
      <c r="L126" s="100"/>
      <c r="M126" s="100"/>
      <c r="N126" s="36">
        <v>0.3</v>
      </c>
      <c r="O126" s="37">
        <f t="shared" si="8"/>
        <v>8377200</v>
      </c>
    </row>
    <row r="127" spans="1:15" ht="22.5" customHeight="1" x14ac:dyDescent="0.35">
      <c r="A127" s="33">
        <v>110</v>
      </c>
      <c r="B127" s="34" t="s">
        <v>531</v>
      </c>
      <c r="C127" s="22"/>
      <c r="D127" s="42">
        <v>2603005595</v>
      </c>
      <c r="E127" s="24" t="s">
        <v>532</v>
      </c>
      <c r="F127" s="25" t="s">
        <v>533</v>
      </c>
      <c r="G127" s="26" t="s">
        <v>534</v>
      </c>
      <c r="H127" s="28" t="s">
        <v>136</v>
      </c>
      <c r="I127" s="28" t="s">
        <v>136</v>
      </c>
      <c r="J127" s="28" t="s">
        <v>160</v>
      </c>
      <c r="K127" s="100">
        <v>3.56</v>
      </c>
      <c r="L127" s="100"/>
      <c r="M127" s="100"/>
      <c r="N127" s="36">
        <v>0.3</v>
      </c>
      <c r="O127" s="37">
        <f t="shared" si="8"/>
        <v>8330400</v>
      </c>
    </row>
    <row r="128" spans="1:15" ht="22.5" customHeight="1" x14ac:dyDescent="0.35">
      <c r="A128" s="33">
        <v>111</v>
      </c>
      <c r="B128" s="34" t="s">
        <v>535</v>
      </c>
      <c r="C128" s="22"/>
      <c r="D128" s="42">
        <v>2696027213</v>
      </c>
      <c r="E128" s="24" t="s">
        <v>536</v>
      </c>
      <c r="F128" s="25" t="s">
        <v>537</v>
      </c>
      <c r="G128" s="26" t="s">
        <v>538</v>
      </c>
      <c r="H128" s="28" t="s">
        <v>170</v>
      </c>
      <c r="I128" s="28" t="s">
        <v>225</v>
      </c>
      <c r="J128" s="22" t="s">
        <v>164</v>
      </c>
      <c r="K128" s="100">
        <v>4.2</v>
      </c>
      <c r="L128" s="100"/>
      <c r="M128" s="100">
        <v>0.1</v>
      </c>
      <c r="N128" s="36">
        <v>0.3</v>
      </c>
      <c r="O128" s="37">
        <f t="shared" si="8"/>
        <v>10062000</v>
      </c>
    </row>
    <row r="129" spans="1:15" ht="22.5" customHeight="1" x14ac:dyDescent="0.35">
      <c r="A129" s="33">
        <v>112</v>
      </c>
      <c r="B129" s="34" t="s">
        <v>539</v>
      </c>
      <c r="C129" s="22" t="s">
        <v>21</v>
      </c>
      <c r="D129" s="54" t="s">
        <v>540</v>
      </c>
      <c r="E129" s="40" t="s">
        <v>541</v>
      </c>
      <c r="F129" s="25" t="s">
        <v>542</v>
      </c>
      <c r="G129" s="26" t="s">
        <v>543</v>
      </c>
      <c r="H129" s="28" t="s">
        <v>136</v>
      </c>
      <c r="I129" s="28" t="s">
        <v>136</v>
      </c>
      <c r="J129" s="22" t="s">
        <v>175</v>
      </c>
      <c r="K129" s="100">
        <v>2.5499999999999998</v>
      </c>
      <c r="L129" s="100"/>
      <c r="M129" s="100"/>
      <c r="N129" s="36">
        <v>0.3</v>
      </c>
      <c r="O129" s="37">
        <f t="shared" si="8"/>
        <v>5967000</v>
      </c>
    </row>
    <row r="130" spans="1:15" ht="22.5" customHeight="1" x14ac:dyDescent="0.35">
      <c r="A130" s="33">
        <v>113</v>
      </c>
      <c r="B130" s="34" t="s">
        <v>544</v>
      </c>
      <c r="C130" s="22"/>
      <c r="D130" s="42">
        <v>3411000512</v>
      </c>
      <c r="E130" s="24" t="s">
        <v>545</v>
      </c>
      <c r="F130" s="25" t="s">
        <v>546</v>
      </c>
      <c r="G130" s="26" t="s">
        <v>128</v>
      </c>
      <c r="H130" s="28" t="s">
        <v>136</v>
      </c>
      <c r="I130" s="28" t="s">
        <v>136</v>
      </c>
      <c r="J130" s="28" t="s">
        <v>130</v>
      </c>
      <c r="K130" s="141">
        <v>3.01</v>
      </c>
      <c r="L130" s="100"/>
      <c r="M130" s="100"/>
      <c r="N130" s="36">
        <v>0.3</v>
      </c>
      <c r="O130" s="37">
        <f t="shared" si="8"/>
        <v>7043399.9999999991</v>
      </c>
    </row>
    <row r="131" spans="1:15" ht="22.5" customHeight="1" x14ac:dyDescent="0.35">
      <c r="A131" s="33">
        <v>114</v>
      </c>
      <c r="B131" s="34" t="s">
        <v>547</v>
      </c>
      <c r="C131" s="22"/>
      <c r="D131" s="42">
        <v>3802000619</v>
      </c>
      <c r="E131" s="24" t="s">
        <v>548</v>
      </c>
      <c r="F131" s="25" t="s">
        <v>549</v>
      </c>
      <c r="G131" s="26" t="s">
        <v>550</v>
      </c>
      <c r="H131" s="28" t="s">
        <v>136</v>
      </c>
      <c r="I131" s="28" t="s">
        <v>136</v>
      </c>
      <c r="J131" s="22" t="s">
        <v>164</v>
      </c>
      <c r="K131" s="100">
        <v>4.2</v>
      </c>
      <c r="L131" s="100"/>
      <c r="M131" s="100"/>
      <c r="N131" s="36">
        <v>0.3</v>
      </c>
      <c r="O131" s="37">
        <f t="shared" si="8"/>
        <v>9828000</v>
      </c>
    </row>
    <row r="132" spans="1:15" ht="22.5" customHeight="1" x14ac:dyDescent="0.35">
      <c r="A132" s="33">
        <v>115</v>
      </c>
      <c r="B132" s="34" t="s">
        <v>551</v>
      </c>
      <c r="C132" s="22"/>
      <c r="D132" s="23" t="s">
        <v>552</v>
      </c>
      <c r="E132" s="40" t="s">
        <v>553</v>
      </c>
      <c r="F132" s="25" t="s">
        <v>554</v>
      </c>
      <c r="G132" s="26" t="s">
        <v>458</v>
      </c>
      <c r="H132" s="28" t="s">
        <v>136</v>
      </c>
      <c r="I132" s="28" t="s">
        <v>136</v>
      </c>
      <c r="J132" s="28" t="s">
        <v>130</v>
      </c>
      <c r="K132" s="141">
        <v>3.01</v>
      </c>
      <c r="L132" s="100"/>
      <c r="M132" s="100"/>
      <c r="N132" s="36">
        <v>0.3</v>
      </c>
      <c r="O132" s="37">
        <f t="shared" si="8"/>
        <v>7043399.9999999991</v>
      </c>
    </row>
    <row r="133" spans="1:15" ht="22.5" customHeight="1" x14ac:dyDescent="0.35">
      <c r="A133" s="33">
        <v>116</v>
      </c>
      <c r="B133" s="34" t="s">
        <v>555</v>
      </c>
      <c r="C133" s="22"/>
      <c r="D133" s="42">
        <v>3412005425</v>
      </c>
      <c r="E133" s="40" t="s">
        <v>556</v>
      </c>
      <c r="F133" s="25" t="s">
        <v>557</v>
      </c>
      <c r="G133" s="26" t="s">
        <v>558</v>
      </c>
      <c r="H133" s="28" t="s">
        <v>136</v>
      </c>
      <c r="I133" s="28" t="s">
        <v>136</v>
      </c>
      <c r="J133" s="22" t="s">
        <v>130</v>
      </c>
      <c r="K133" s="141">
        <v>3.01</v>
      </c>
      <c r="L133" s="100"/>
      <c r="M133" s="100"/>
      <c r="N133" s="36">
        <v>0.3</v>
      </c>
      <c r="O133" s="37">
        <f t="shared" si="8"/>
        <v>7043399.9999999991</v>
      </c>
    </row>
    <row r="134" spans="1:15" ht="22.5" customHeight="1" x14ac:dyDescent="0.35">
      <c r="A134" s="33">
        <v>117</v>
      </c>
      <c r="B134" s="34" t="s">
        <v>559</v>
      </c>
      <c r="C134" s="22"/>
      <c r="D134" s="23" t="s">
        <v>560</v>
      </c>
      <c r="E134" s="24" t="s">
        <v>561</v>
      </c>
      <c r="F134" s="25" t="s">
        <v>562</v>
      </c>
      <c r="G134" s="26" t="s">
        <v>563</v>
      </c>
      <c r="H134" s="28" t="s">
        <v>136</v>
      </c>
      <c r="I134" s="28" t="s">
        <v>136</v>
      </c>
      <c r="J134" s="22" t="s">
        <v>175</v>
      </c>
      <c r="K134" s="100">
        <v>2.5499999999999998</v>
      </c>
      <c r="L134" s="100"/>
      <c r="M134" s="100"/>
      <c r="N134" s="36">
        <v>0.3</v>
      </c>
      <c r="O134" s="37">
        <f t="shared" si="8"/>
        <v>5967000</v>
      </c>
    </row>
    <row r="135" spans="1:15" ht="22.5" customHeight="1" x14ac:dyDescent="0.35">
      <c r="A135" s="33">
        <v>118</v>
      </c>
      <c r="B135" s="34" t="s">
        <v>564</v>
      </c>
      <c r="C135" s="22"/>
      <c r="D135" s="23" t="s">
        <v>565</v>
      </c>
      <c r="E135" s="40" t="s">
        <v>566</v>
      </c>
      <c r="F135" s="25" t="s">
        <v>567</v>
      </c>
      <c r="G135" s="26" t="s">
        <v>128</v>
      </c>
      <c r="H135" s="28" t="s">
        <v>136</v>
      </c>
      <c r="I135" s="28" t="s">
        <v>136</v>
      </c>
      <c r="J135" s="22" t="s">
        <v>130</v>
      </c>
      <c r="K135" s="141">
        <v>3.01</v>
      </c>
      <c r="L135" s="100"/>
      <c r="M135" s="100"/>
      <c r="N135" s="36">
        <v>0.3</v>
      </c>
      <c r="O135" s="37">
        <f t="shared" si="8"/>
        <v>7043399.9999999991</v>
      </c>
    </row>
    <row r="136" spans="1:15" ht="22.5" customHeight="1" x14ac:dyDescent="0.35">
      <c r="A136" s="33">
        <v>119</v>
      </c>
      <c r="B136" s="34" t="s">
        <v>568</v>
      </c>
      <c r="C136" s="22"/>
      <c r="D136" s="42">
        <v>2606003274</v>
      </c>
      <c r="E136" s="24" t="s">
        <v>569</v>
      </c>
      <c r="F136" s="25" t="s">
        <v>570</v>
      </c>
      <c r="G136" s="26" t="s">
        <v>118</v>
      </c>
      <c r="H136" s="28" t="s">
        <v>136</v>
      </c>
      <c r="I136" s="28" t="s">
        <v>180</v>
      </c>
      <c r="J136" s="22" t="s">
        <v>181</v>
      </c>
      <c r="K136" s="100">
        <v>3.51</v>
      </c>
      <c r="L136" s="100"/>
      <c r="M136" s="100"/>
      <c r="N136" s="36">
        <v>0.3</v>
      </c>
      <c r="O136" s="37">
        <f t="shared" si="8"/>
        <v>8213399.9999999991</v>
      </c>
    </row>
    <row r="137" spans="1:15" ht="22.5" customHeight="1" x14ac:dyDescent="0.35">
      <c r="A137" s="33">
        <v>120</v>
      </c>
      <c r="B137" s="34" t="s">
        <v>571</v>
      </c>
      <c r="C137" s="22" t="s">
        <v>21</v>
      </c>
      <c r="D137" s="23" t="s">
        <v>572</v>
      </c>
      <c r="E137" s="24">
        <v>33973</v>
      </c>
      <c r="F137" s="25" t="s">
        <v>573</v>
      </c>
      <c r="G137" s="26" t="s">
        <v>574</v>
      </c>
      <c r="H137" s="28" t="s">
        <v>136</v>
      </c>
      <c r="I137" s="28" t="s">
        <v>136</v>
      </c>
      <c r="J137" s="22" t="s">
        <v>137</v>
      </c>
      <c r="K137" s="100">
        <v>2.16</v>
      </c>
      <c r="L137" s="100"/>
      <c r="M137" s="100"/>
      <c r="N137" s="36">
        <v>0.3</v>
      </c>
      <c r="O137" s="37">
        <f t="shared" si="8"/>
        <v>5054400</v>
      </c>
    </row>
    <row r="138" spans="1:15" ht="22.5" customHeight="1" x14ac:dyDescent="0.35">
      <c r="A138" s="33">
        <v>121</v>
      </c>
      <c r="B138" s="34" t="s">
        <v>575</v>
      </c>
      <c r="C138" s="22" t="s">
        <v>21</v>
      </c>
      <c r="D138" s="42">
        <v>2696027239</v>
      </c>
      <c r="E138" s="24" t="s">
        <v>576</v>
      </c>
      <c r="F138" s="25" t="s">
        <v>577</v>
      </c>
      <c r="G138" s="26" t="s">
        <v>578</v>
      </c>
      <c r="H138" s="28" t="s">
        <v>136</v>
      </c>
      <c r="I138" s="28" t="s">
        <v>136</v>
      </c>
      <c r="J138" s="22" t="s">
        <v>164</v>
      </c>
      <c r="K138" s="100">
        <v>4.2</v>
      </c>
      <c r="L138" s="100"/>
      <c r="M138" s="100"/>
      <c r="N138" s="36">
        <v>0.3</v>
      </c>
      <c r="O138" s="37">
        <f t="shared" si="8"/>
        <v>9828000</v>
      </c>
    </row>
    <row r="139" spans="1:15" ht="24.75" customHeight="1" x14ac:dyDescent="0.35">
      <c r="A139" s="66"/>
      <c r="B139" s="67"/>
      <c r="C139" s="67"/>
      <c r="D139" s="68"/>
      <c r="E139" s="69"/>
      <c r="F139" s="70"/>
      <c r="G139" s="71"/>
      <c r="H139" s="72"/>
      <c r="I139" s="72"/>
      <c r="J139" s="73"/>
      <c r="K139" s="171"/>
      <c r="L139" s="171"/>
      <c r="M139" s="171"/>
      <c r="N139" s="73"/>
      <c r="O139" s="73" t="e">
        <f>SUM(O8:O138)</f>
        <v>#VALUE!</v>
      </c>
    </row>
    <row r="140" spans="1:15" ht="28.5" customHeight="1" x14ac:dyDescent="0.35">
      <c r="O140" s="74"/>
    </row>
    <row r="141" spans="1:15" ht="28.5" customHeight="1" x14ac:dyDescent="0.35"/>
  </sheetData>
  <mergeCells count="15">
    <mergeCell ref="A1:H1"/>
    <mergeCell ref="J1:O1"/>
    <mergeCell ref="A2:H2"/>
    <mergeCell ref="J2:O2"/>
    <mergeCell ref="A3:H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Arlo Do</cp:lastModifiedBy>
  <dcterms:created xsi:type="dcterms:W3CDTF">2026-02-05T09:59:00Z</dcterms:created>
  <dcterms:modified xsi:type="dcterms:W3CDTF">2026-02-05T15:48:29Z</dcterms:modified>
</cp:coreProperties>
</file>